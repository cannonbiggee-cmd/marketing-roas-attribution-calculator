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ADME" sheetId="1" state="visible" r:id="rId3"/>
    <sheet name="Raw_Touchpoint_Data" sheetId="2" state="visible" r:id="rId4"/>
    <sheet name="Campaign_Summary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<sst xmlns="http://schemas.openxmlformats.org/spreadsheetml/2006/main" count="400" uniqueCount="170">
  <si>
    <t xml:space="preserve">Marketing Campaign ROAS &amp; Attribution Calculator</t>
  </si>
  <si>
    <t xml:space="preserve">A multi-touch attribution model built to stress-test Refonte's core commercial claim: a 40% boost in advertising returns.</t>
  </si>
  <si>
    <t xml:space="preserve">WHAT THIS IS</t>
  </si>
  <si>
    <t xml:space="preserve">This workbook models how marketing revenue should be credited across a customer's full path to purchase, instead of crediting 100% of the sale to the last ad someone clicked. It compares five attribution methodologies side by side (First-Touch, Last-Touch, Linear, Time-Decay, Position-Based), converts each into a Return on Ad Spend (ROAS) figure per channel, and includes a live budget-reallocation simulator for testing how close a reallocated budget can get toward a target ROAS uplift.</t>
  </si>
  <si>
    <t xml:space="preserve">WHY IT MATTERS</t>
  </si>
  <si>
    <t xml:space="preserve">Last-touch attribution (the default in most ad platforms) systematically overweights bottom-of-funnel channels like Paid Search and undervalues awareness channels like Display, Video, and Influencer. A vendor claiming a headline ROAS improvement should show that number under more than one attribution lens — this workbook lets you check that.</t>
  </si>
  <si>
    <t xml:space="preserve">HOW TO USE IT</t>
  </si>
  <si>
    <t xml:space="preserve">1. Raw_Touchpoint_Data — 42 synthetic customer journeys (107 touchpoints) with dates, channels, and the revenue value of the resulting conversion. Every attribution model is calculated here, row by row, with visible formulas.</t>
  </si>
  <si>
    <t xml:space="preserve">2. Campaign_Summary — Ad spend per channel (blue = editable input) rolled up against revenue under each attribution model, with ROAS computed live.</t>
  </si>
  <si>
    <t xml:space="preserve">3. Dashboard — KPIs, a ROAS-by-channel chart, a model-comparison chart, and the Budget Reallocation Simulator. Edit the blue cells there to test different reallocation strategies against the 40% target.</t>
  </si>
  <si>
    <t xml:space="preserve">KEY ASSUMPTIONS (see also in-sheet notes)</t>
  </si>
  <si>
    <t xml:space="preserve">• Data is synthetic, generated for demonstration — not real campaign data.</t>
  </si>
  <si>
    <t xml:space="preserve">• Time-Decay uses a base-2 exponential weight by touchpoint order within each journey.</t>
  </si>
  <si>
    <t xml:space="preserve">• Position-Based uses a standard 40 / 20 / 40 split (first / middle / last), collapsing to 50/50 for two-touch journeys and 100% for single-touch journeys.</t>
  </si>
  <si>
    <t xml:space="preserve">• The Reallocation Simulator assumes each channel's current ROAS holds at the margin — i.e. no diminishing returns as spend shifts. Real budgets rarely behave this cleanly; treat it as a directional planning tool, not a forecast.</t>
  </si>
  <si>
    <t xml:space="preserve">BUILT WITH</t>
  </si>
  <si>
    <t xml:space="preserve">Excel formulas only (SUMIFS, SUMPRODUCT, INDEX/MATCH, IF) — no macros, no external add-ins. Every number recalculates if you change the input data or spend figures.</t>
  </si>
  <si>
    <t xml:space="preserve">Customer ID</t>
  </si>
  <si>
    <t xml:space="preserve">Touchpoint Order</t>
  </si>
  <si>
    <t xml:space="preserve">Total Touchpoints in Journey</t>
  </si>
  <si>
    <t xml:space="preserve">Channel</t>
  </si>
  <si>
    <t xml:space="preserve">Touchpoint Date</t>
  </si>
  <si>
    <t xml:space="preserve">Journey Revenue ($)</t>
  </si>
  <si>
    <t xml:space="preserve">Linear Attributed ($)</t>
  </si>
  <si>
    <t xml:space="preserve">First-Touch Attributed ($)</t>
  </si>
  <si>
    <t xml:space="preserve">Last-Touch Attributed ($)</t>
  </si>
  <si>
    <t xml:space="preserve">Time-Decay Weight (2^order)</t>
  </si>
  <si>
    <t xml:space="preserve">Time-Decay Attributed ($)</t>
  </si>
  <si>
    <t xml:space="preserve">Position Weight</t>
  </si>
  <si>
    <t xml:space="preserve">Position-Based Attributed ($)</t>
  </si>
  <si>
    <t xml:space="preserve">CUST-001</t>
  </si>
  <si>
    <t xml:space="preserve">Paid Search</t>
  </si>
  <si>
    <t xml:space="preserve">2026-07-14</t>
  </si>
  <si>
    <t xml:space="preserve">2026-07-15</t>
  </si>
  <si>
    <t xml:space="preserve">2026-07-24</t>
  </si>
  <si>
    <t xml:space="preserve">CUST-002</t>
  </si>
  <si>
    <t xml:space="preserve">2026-06-02</t>
  </si>
  <si>
    <t xml:space="preserve">2026-06-04</t>
  </si>
  <si>
    <t xml:space="preserve">CUST-003</t>
  </si>
  <si>
    <t xml:space="preserve">Email</t>
  </si>
  <si>
    <t xml:space="preserve">2026-07-26</t>
  </si>
  <si>
    <t xml:space="preserve">Paid Social</t>
  </si>
  <si>
    <t xml:space="preserve">2026-07-28</t>
  </si>
  <si>
    <t xml:space="preserve">2026-08-03</t>
  </si>
  <si>
    <t xml:space="preserve">CUST-004</t>
  </si>
  <si>
    <t xml:space="preserve">2026-06-06</t>
  </si>
  <si>
    <t xml:space="preserve">Influencer</t>
  </si>
  <si>
    <t xml:space="preserve">2026-06-07</t>
  </si>
  <si>
    <t xml:space="preserve">CUST-005</t>
  </si>
  <si>
    <t xml:space="preserve">2026-06-30</t>
  </si>
  <si>
    <t xml:space="preserve">2026-07-01</t>
  </si>
  <si>
    <t xml:space="preserve">CUST-006</t>
  </si>
  <si>
    <t xml:space="preserve">2026-07-07</t>
  </si>
  <si>
    <t xml:space="preserve">Display</t>
  </si>
  <si>
    <t xml:space="preserve">2026-07-08</t>
  </si>
  <si>
    <t xml:space="preserve">Video</t>
  </si>
  <si>
    <t xml:space="preserve">2026-07-09</t>
  </si>
  <si>
    <t xml:space="preserve">2026-07-13</t>
  </si>
  <si>
    <t xml:space="preserve">CUST-007</t>
  </si>
  <si>
    <t xml:space="preserve">2026-07-02</t>
  </si>
  <si>
    <t xml:space="preserve">2026-07-06</t>
  </si>
  <si>
    <t xml:space="preserve">CUST-008</t>
  </si>
  <si>
    <t xml:space="preserve">2026-06-05</t>
  </si>
  <si>
    <t xml:space="preserve">CUST-009</t>
  </si>
  <si>
    <t xml:space="preserve">2026-07-30</t>
  </si>
  <si>
    <t xml:space="preserve">2026-08-01</t>
  </si>
  <si>
    <t xml:space="preserve">CUST-010</t>
  </si>
  <si>
    <t xml:space="preserve">2026-06-21</t>
  </si>
  <si>
    <t xml:space="preserve">2026-06-24</t>
  </si>
  <si>
    <t xml:space="preserve">2026-06-23</t>
  </si>
  <si>
    <t xml:space="preserve">CUST-011</t>
  </si>
  <si>
    <t xml:space="preserve">2026-07-12</t>
  </si>
  <si>
    <t xml:space="preserve">2026-07-16</t>
  </si>
  <si>
    <t xml:space="preserve">CUST-012</t>
  </si>
  <si>
    <t xml:space="preserve">2026-07-18</t>
  </si>
  <si>
    <t xml:space="preserve">2026-07-22</t>
  </si>
  <si>
    <t xml:space="preserve">CUST-013</t>
  </si>
  <si>
    <t xml:space="preserve">2026-07-19</t>
  </si>
  <si>
    <t xml:space="preserve">2026-07-20</t>
  </si>
  <si>
    <t xml:space="preserve">CUST-014</t>
  </si>
  <si>
    <t xml:space="preserve">CUST-015</t>
  </si>
  <si>
    <t xml:space="preserve">CUST-016</t>
  </si>
  <si>
    <t xml:space="preserve">2026-06-28</t>
  </si>
  <si>
    <t xml:space="preserve">CUST-017</t>
  </si>
  <si>
    <t xml:space="preserve">2026-07-31</t>
  </si>
  <si>
    <t xml:space="preserve">2026-08-05</t>
  </si>
  <si>
    <t xml:space="preserve">CUST-018</t>
  </si>
  <si>
    <t xml:space="preserve">CUST-019</t>
  </si>
  <si>
    <t xml:space="preserve">CUST-020</t>
  </si>
  <si>
    <t xml:space="preserve">2026-08-04</t>
  </si>
  <si>
    <t xml:space="preserve">CUST-021</t>
  </si>
  <si>
    <t xml:space="preserve">2026-06-14</t>
  </si>
  <si>
    <t xml:space="preserve">CUST-022</t>
  </si>
  <si>
    <t xml:space="preserve">2026-06-29</t>
  </si>
  <si>
    <t xml:space="preserve">CUST-023</t>
  </si>
  <si>
    <t xml:space="preserve">CUST-024</t>
  </si>
  <si>
    <t xml:space="preserve">2026-06-15</t>
  </si>
  <si>
    <t xml:space="preserve">2026-06-16</t>
  </si>
  <si>
    <t xml:space="preserve">CUST-025</t>
  </si>
  <si>
    <t xml:space="preserve">2026-08-07</t>
  </si>
  <si>
    <t xml:space="preserve">CUST-026</t>
  </si>
  <si>
    <t xml:space="preserve">CUST-027</t>
  </si>
  <si>
    <t xml:space="preserve">CUST-028</t>
  </si>
  <si>
    <t xml:space="preserve">2026-06-18</t>
  </si>
  <si>
    <t xml:space="preserve">CUST-029</t>
  </si>
  <si>
    <t xml:space="preserve">CUST-030</t>
  </si>
  <si>
    <t xml:space="preserve">2026-06-20</t>
  </si>
  <si>
    <t xml:space="preserve">CUST-031</t>
  </si>
  <si>
    <t xml:space="preserve">2026-06-01</t>
  </si>
  <si>
    <t xml:space="preserve">CUST-032</t>
  </si>
  <si>
    <t xml:space="preserve">2026-07-17</t>
  </si>
  <si>
    <t xml:space="preserve">CUST-033</t>
  </si>
  <si>
    <t xml:space="preserve">2026-06-22</t>
  </si>
  <si>
    <t xml:space="preserve">CUST-034</t>
  </si>
  <si>
    <t xml:space="preserve">CUST-035</t>
  </si>
  <si>
    <t xml:space="preserve">CUST-036</t>
  </si>
  <si>
    <t xml:space="preserve">CUST-037</t>
  </si>
  <si>
    <t xml:space="preserve">2026-06-17</t>
  </si>
  <si>
    <t xml:space="preserve">2026-06-19</t>
  </si>
  <si>
    <t xml:space="preserve">CUST-038</t>
  </si>
  <si>
    <t xml:space="preserve">2026-07-05</t>
  </si>
  <si>
    <t xml:space="preserve">CUST-039</t>
  </si>
  <si>
    <t xml:space="preserve">CUST-040</t>
  </si>
  <si>
    <t xml:space="preserve">2026-07-10</t>
  </si>
  <si>
    <t xml:space="preserve">2026-07-11</t>
  </si>
  <si>
    <t xml:space="preserve">CUST-041</t>
  </si>
  <si>
    <t xml:space="preserve">2026-06-10</t>
  </si>
  <si>
    <t xml:space="preserve">2026-06-13</t>
  </si>
  <si>
    <t xml:space="preserve">CUST-042</t>
  </si>
  <si>
    <t xml:space="preserve">2026-07-29</t>
  </si>
  <si>
    <t xml:space="preserve">Column Totals (sanity check — should all match):</t>
  </si>
  <si>
    <t xml:space="preserve">Every model must redistribute the SAME total revenue — only the credit per channel differs. If the totals above don't match, an attribution formula is broken.</t>
  </si>
  <si>
    <t xml:space="preserve">Campaign Summary — Spend vs. Attributed Revenue by Model</t>
  </si>
  <si>
    <t xml:space="preserve">Ad Spend is the only manual input (blue). Everything else pulls live from Raw_Touchpoint_Data.</t>
  </si>
  <si>
    <t xml:space="preserve">Ad Spend ($)</t>
  </si>
  <si>
    <t xml:space="preserve">Linear Revenue</t>
  </si>
  <si>
    <t xml:space="preserve">First-Touch Revenue</t>
  </si>
  <si>
    <t xml:space="preserve">Last-Touch Revenue</t>
  </si>
  <si>
    <t xml:space="preserve">Time-Decay Revenue</t>
  </si>
  <si>
    <t xml:space="preserve">Position-Based Revenue</t>
  </si>
  <si>
    <t xml:space="preserve">Linear ROAS</t>
  </si>
  <si>
    <t xml:space="preserve">First-Touch ROAS</t>
  </si>
  <si>
    <t xml:space="preserve">Last-Touch ROAS</t>
  </si>
  <si>
    <t xml:space="preserve">Time-Decay ROAS</t>
  </si>
  <si>
    <t xml:space="preserve">Position-Based ROAS</t>
  </si>
  <si>
    <t xml:space="preserve">First-Last ROAS Gap</t>
  </si>
  <si>
    <t xml:space="preserve">Max Cross-Model ROAS Swing</t>
  </si>
  <si>
    <t xml:space="preserve">TOTAL / BLENDED</t>
  </si>
  <si>
    <t xml:space="preserve">Note: ROAS shown as a multiple (e.g. 3.20x = $3.20 revenue per $1.00 spent). Compare the Last-Touch column (what most ad platforms report natively) against Linear/Time-Decay/Position-Based to see how much credit is being over- or under-stated for upper-funnel channels.</t>
  </si>
  <si>
    <t xml:space="preserve">Marketing ROAS Dashboard</t>
  </si>
  <si>
    <t xml:space="preserve">All figures pull live from Campaign_Summary. Blue cells in the simulator are editable.</t>
  </si>
  <si>
    <t xml:space="preserve">Total Ad Spend</t>
  </si>
  <si>
    <t xml:space="preserve">Total Revenue (Linear model)</t>
  </si>
  <si>
    <t xml:space="preserve">Blended ROAS (Linear)</t>
  </si>
  <si>
    <t xml:space="preserve">Best channel by Linear ROAS:</t>
  </si>
  <si>
    <t xml:space="preserve">Most undervalued by last-touch (biggest first-touch minus last-touch ROAS gap):</t>
  </si>
  <si>
    <t xml:space="preserve">Budget Reallocation Simulator</t>
  </si>
  <si>
    <t xml:space="preserve">Edit the blue % Reallocation cells to shift budget toward higher-ROAS channels. Projected Revenue assumes each channel's current Linear ROAS holds at the margin — a simplifying assumption; real budgets face diminishing returns as spend increases.</t>
  </si>
  <si>
    <t xml:space="preserve">Current Spend</t>
  </si>
  <si>
    <t xml:space="preserve">Current ROAS</t>
  </si>
  <si>
    <t xml:space="preserve">% Reallocation</t>
  </si>
  <si>
    <t xml:space="preserve">New Spend</t>
  </si>
  <si>
    <t xml:space="preserve">New Proj. Revenue</t>
  </si>
  <si>
    <t xml:space="preserve">TOTAL</t>
  </si>
  <si>
    <t xml:space="preserve">Baseline Blended ROAS:</t>
  </si>
  <si>
    <t xml:space="preserve">Target Uplift:</t>
  </si>
  <si>
    <t xml:space="preserve">Target ROAS:</t>
  </si>
  <si>
    <t xml:space="preserve">Projected New ROAS:</t>
  </si>
  <si>
    <t xml:space="preserve">Actual Uplift Achieved:</t>
  </si>
  <si>
    <t xml:space="preserve">Gap to Target: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</si>
</sst>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0"/>
    <numFmt numFmtId="167" formatCode="0.000"/>
    <numFmt numFmtId="168" formatCode="\$#,##0"/>
    <numFmt numFmtId="169" formatCode="0.00\x"/>
    <numFmt numFmtId="170" formatCode="\+0%;\-0%"/>
    <numFmt numFmtId="171" formatCode="0%"/>
    <numFmt numFmtId="172" formatCode="\+0.0%;\-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1F7A1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08080"/>
      <rgbColor rgb="FF9999FF"/>
      <rgbColor rgb="FFAB4744"/>
      <rgbColor rgb="FFF9F9F9"/>
      <rgbColor rgb="FFF2F2F2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FF99"/>
      <rgbColor rgb="FF99CCFF"/>
      <rgbColor rgb="FFFF99CC"/>
      <rgbColor rgb="FFCC99FF"/>
      <rgbColor rgb="FFFFC7CE"/>
      <rgbColor rgb="FF2E75B6"/>
      <rgbColor rgb="FF4BACC6"/>
      <rgbColor rgb="FF9BBB59"/>
      <rgbColor rgb="FFFFCC00"/>
      <rgbColor rgb="FFFF9900"/>
      <rgbColor rgb="FFFF6600"/>
      <rgbColor rgb="FF8064A2"/>
      <rgbColor rgb="FF878787"/>
      <rgbColor rgb="FF1F3864"/>
      <rgbColor rgb="FF1F7A1F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ROAS by Channel — All Attribution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Campaign_Summary!H4</c:f>
              <c:strCache>
                <c:ptCount val="1"/>
                <c:pt idx="0">
                  <c:v>Linear ROAS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Campaign_Summary!$A$5:$A$10</c:f>
              <c:strCache>
                <c:ptCount val="6"/>
                <c:pt idx="0">
                  <c:v>Paid Search</c:v>
                </c:pt>
                <c:pt idx="1">
                  <c:v>Paid Social</c:v>
                </c:pt>
                <c:pt idx="2">
                  <c:v>Display</c:v>
                </c:pt>
                <c:pt idx="3">
                  <c:v>Email</c:v>
                </c:pt>
                <c:pt idx="4">
                  <c:v>Video</c:v>
                </c:pt>
                <c:pt idx="5">
                  <c:v>Influencer</c:v>
                </c:pt>
              </c:strCache>
            </c:strRef>
          </c:cat>
          <c:val>
            <c:numRef>
              <c:f>Campaign_Summary!$H$5:$H$10</c:f>
              <c:numCache>
                <c:formatCode>0.00\x</c:formatCode>
                <c:ptCount val="6"/>
                <c:pt idx="0">
                  <c:v>3.21338697916667</c:v>
                </c:pt>
                <c:pt idx="1">
                  <c:v>2.6650287037037</c:v>
                </c:pt>
                <c:pt idx="2">
                  <c:v>2.37577738095238</c:v>
                </c:pt>
                <c:pt idx="3">
                  <c:v>5.04406666666667</c:v>
                </c:pt>
                <c:pt idx="4">
                  <c:v>2.57610555555556</c:v>
                </c:pt>
                <c:pt idx="5">
                  <c:v>1.62916388888889</c:v>
                </c:pt>
              </c:numCache>
            </c:numRef>
          </c:val>
        </c:ser>
        <c:ser>
          <c:idx val="1"/>
          <c:order val="1"/>
          <c:tx>
            <c:strRef>
              <c:f>Campaign_Summary!I4</c:f>
              <c:strCache>
                <c:ptCount val="1"/>
                <c:pt idx="0">
                  <c:v>First-Touch ROAS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Campaign_Summary!$A$5:$A$10</c:f>
              <c:strCache>
                <c:ptCount val="6"/>
                <c:pt idx="0">
                  <c:v>Paid Search</c:v>
                </c:pt>
                <c:pt idx="1">
                  <c:v>Paid Social</c:v>
                </c:pt>
                <c:pt idx="2">
                  <c:v>Display</c:v>
                </c:pt>
                <c:pt idx="3">
                  <c:v>Email</c:v>
                </c:pt>
                <c:pt idx="4">
                  <c:v>Video</c:v>
                </c:pt>
                <c:pt idx="5">
                  <c:v>Influencer</c:v>
                </c:pt>
              </c:strCache>
            </c:strRef>
          </c:cat>
          <c:val>
            <c:numRef>
              <c:f>Campaign_Summary!$I$5:$I$10</c:f>
              <c:numCache>
                <c:formatCode>0.00\x</c:formatCode>
                <c:ptCount val="6"/>
                <c:pt idx="0">
                  <c:v>2.41306875</c:v>
                </c:pt>
                <c:pt idx="1">
                  <c:v>1.802</c:v>
                </c:pt>
                <c:pt idx="2">
                  <c:v>3.53332857142857</c:v>
                </c:pt>
                <c:pt idx="3">
                  <c:v>4.1622</c:v>
                </c:pt>
                <c:pt idx="4">
                  <c:v>3.12188</c:v>
                </c:pt>
                <c:pt idx="5">
                  <c:v>3.53961666666667</c:v>
                </c:pt>
              </c:numCache>
            </c:numRef>
          </c:val>
        </c:ser>
        <c:ser>
          <c:idx val="2"/>
          <c:order val="2"/>
          <c:tx>
            <c:strRef>
              <c:f>Campaign_Summary!J4</c:f>
              <c:strCache>
                <c:ptCount val="1"/>
                <c:pt idx="0">
                  <c:v>Last-Touch ROAS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Campaign_Summary!$A$5:$A$10</c:f>
              <c:strCache>
                <c:ptCount val="6"/>
                <c:pt idx="0">
                  <c:v>Paid Search</c:v>
                </c:pt>
                <c:pt idx="1">
                  <c:v>Paid Social</c:v>
                </c:pt>
                <c:pt idx="2">
                  <c:v>Display</c:v>
                </c:pt>
                <c:pt idx="3">
                  <c:v>Email</c:v>
                </c:pt>
                <c:pt idx="4">
                  <c:v>Video</c:v>
                </c:pt>
                <c:pt idx="5">
                  <c:v>Influencer</c:v>
                </c:pt>
              </c:strCache>
            </c:strRef>
          </c:cat>
          <c:val>
            <c:numRef>
              <c:f>Campaign_Summary!$J$5:$J$10</c:f>
              <c:numCache>
                <c:formatCode>0.00\x</c:formatCode>
                <c:ptCount val="6"/>
                <c:pt idx="0">
                  <c:v>3.4578375</c:v>
                </c:pt>
                <c:pt idx="1">
                  <c:v>3.07143333333333</c:v>
                </c:pt>
                <c:pt idx="2">
                  <c:v>1.94212857142857</c:v>
                </c:pt>
                <c:pt idx="3">
                  <c:v>5.98871428571429</c:v>
                </c:pt>
                <c:pt idx="4">
                  <c:v>2.50284</c:v>
                </c:pt>
                <c:pt idx="5">
                  <c:v>0.41415</c:v>
                </c:pt>
              </c:numCache>
            </c:numRef>
          </c:val>
        </c:ser>
        <c:ser>
          <c:idx val="3"/>
          <c:order val="3"/>
          <c:tx>
            <c:strRef>
              <c:f>Campaign_Summary!K4</c:f>
              <c:strCache>
                <c:ptCount val="1"/>
                <c:pt idx="0">
                  <c:v>Time-Decay ROAS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Campaign_Summary!$A$5:$A$10</c:f>
              <c:strCache>
                <c:ptCount val="6"/>
                <c:pt idx="0">
                  <c:v>Paid Search</c:v>
                </c:pt>
                <c:pt idx="1">
                  <c:v>Paid Social</c:v>
                </c:pt>
                <c:pt idx="2">
                  <c:v>Display</c:v>
                </c:pt>
                <c:pt idx="3">
                  <c:v>Email</c:v>
                </c:pt>
                <c:pt idx="4">
                  <c:v>Video</c:v>
                </c:pt>
                <c:pt idx="5">
                  <c:v>Influencer</c:v>
                </c:pt>
              </c:strCache>
            </c:strRef>
          </c:cat>
          <c:val>
            <c:numRef>
              <c:f>Campaign_Summary!$K$5:$K$10</c:f>
              <c:numCache>
                <c:formatCode>0.00\x</c:formatCode>
                <c:ptCount val="6"/>
                <c:pt idx="0">
                  <c:v>3.41528494047619</c:v>
                </c:pt>
                <c:pt idx="1">
                  <c:v>2.79899301587302</c:v>
                </c:pt>
                <c:pt idx="2">
                  <c:v>2.05664040816327</c:v>
                </c:pt>
                <c:pt idx="3">
                  <c:v>5.57169170068027</c:v>
                </c:pt>
                <c:pt idx="4">
                  <c:v>2.48039580952381</c:v>
                </c:pt>
                <c:pt idx="5">
                  <c:v>1.07400523809524</c:v>
                </c:pt>
              </c:numCache>
            </c:numRef>
          </c:val>
        </c:ser>
        <c:ser>
          <c:idx val="4"/>
          <c:order val="4"/>
          <c:tx>
            <c:strRef>
              <c:f>Campaign_Summary!L4</c:f>
              <c:strCache>
                <c:ptCount val="1"/>
                <c:pt idx="0">
                  <c:v>Position-Based ROAS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Campaign_Summary!$A$5:$A$10</c:f>
              <c:strCache>
                <c:ptCount val="6"/>
                <c:pt idx="0">
                  <c:v>Paid Search</c:v>
                </c:pt>
                <c:pt idx="1">
                  <c:v>Paid Social</c:v>
                </c:pt>
                <c:pt idx="2">
                  <c:v>Display</c:v>
                </c:pt>
                <c:pt idx="3">
                  <c:v>Email</c:v>
                </c:pt>
                <c:pt idx="4">
                  <c:v>Video</c:v>
                </c:pt>
                <c:pt idx="5">
                  <c:v>Influencer</c:v>
                </c:pt>
              </c:strCache>
            </c:strRef>
          </c:cat>
          <c:val>
            <c:numRef>
              <c:f>Campaign_Summary!$L$5:$L$10</c:f>
              <c:numCache>
                <c:formatCode>0.00\x</c:formatCode>
                <c:ptCount val="6"/>
                <c:pt idx="0">
                  <c:v>3.050484375</c:v>
                </c:pt>
                <c:pt idx="1">
                  <c:v>2.49219777777778</c:v>
                </c:pt>
                <c:pt idx="2">
                  <c:v>2.59010142857143</c:v>
                </c:pt>
                <c:pt idx="3">
                  <c:v>5.08915714285714</c:v>
                </c:pt>
                <c:pt idx="4">
                  <c:v>2.766284</c:v>
                </c:pt>
                <c:pt idx="5">
                  <c:v>1.80874666666667</c:v>
                </c:pt>
              </c:numCache>
            </c:numRef>
          </c:val>
        </c:ser>
        <c:gapWidth val="150"/>
        <c:overlap val="0"/>
        <c:axId val="90917763"/>
        <c:axId val="40351538"/>
      </c:barChart>
      <c:catAx>
        <c:axId val="909177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51538"/>
        <c:crosses val="autoZero"/>
        <c:auto val="1"/>
        <c:lblAlgn val="ctr"/>
        <c:lblOffset val="100"/>
        <c:noMultiLvlLbl val="0"/>
      </c:catAx>
      <c:valAx>
        <c:axId val="403515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ROAS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177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 Spend vs. Linear-Attributed Revenue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Campaign_Summary!B4</c:f>
              <c:strCache>
                <c:ptCount val="1"/>
                <c:pt idx="0">
                  <c:v>Ad Spend ($)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Campaign_Summary!$A$5:$A$10</c:f>
              <c:strCache>
                <c:ptCount val="6"/>
                <c:pt idx="0">
                  <c:v>Paid Search</c:v>
                </c:pt>
                <c:pt idx="1">
                  <c:v>Paid Social</c:v>
                </c:pt>
                <c:pt idx="2">
                  <c:v>Display</c:v>
                </c:pt>
                <c:pt idx="3">
                  <c:v>Email</c:v>
                </c:pt>
                <c:pt idx="4">
                  <c:v>Video</c:v>
                </c:pt>
                <c:pt idx="5">
                  <c:v>Influencer</c:v>
                </c:pt>
              </c:strCache>
            </c:strRef>
          </c:cat>
          <c:val>
            <c:numRef>
              <c:f>Campaign_Summary!$B$5:$B$10</c:f>
              <c:numCache>
                <c:formatCode>\$#,##0</c:formatCode>
                <c:ptCount val="6"/>
                <c:pt idx="0">
                  <c:v>1600</c:v>
                </c:pt>
                <c:pt idx="1">
                  <c:v>900</c:v>
                </c:pt>
                <c:pt idx="2">
                  <c:v>700</c:v>
                </c:pt>
                <c:pt idx="3">
                  <c:v>350</c:v>
                </c:pt>
                <c:pt idx="4">
                  <c:v>750</c:v>
                </c:pt>
                <c:pt idx="5">
                  <c:v>600</c:v>
                </c:pt>
              </c:numCache>
            </c:numRef>
          </c:val>
        </c:ser>
        <c:ser>
          <c:idx val="1"/>
          <c:order val="1"/>
          <c:tx>
            <c:strRef>
              <c:f>Campaign_Summary!C4</c:f>
              <c:strCache>
                <c:ptCount val="1"/>
                <c:pt idx="0">
                  <c:v>Linear Revenue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Campaign_Summary!$A$5:$A$10</c:f>
              <c:strCache>
                <c:ptCount val="6"/>
                <c:pt idx="0">
                  <c:v>Paid Search</c:v>
                </c:pt>
                <c:pt idx="1">
                  <c:v>Paid Social</c:v>
                </c:pt>
                <c:pt idx="2">
                  <c:v>Display</c:v>
                </c:pt>
                <c:pt idx="3">
                  <c:v>Email</c:v>
                </c:pt>
                <c:pt idx="4">
                  <c:v>Video</c:v>
                </c:pt>
                <c:pt idx="5">
                  <c:v>Influencer</c:v>
                </c:pt>
              </c:strCache>
            </c:strRef>
          </c:cat>
          <c:val>
            <c:numRef>
              <c:f>Campaign_Summary!$C$5:$C$10</c:f>
              <c:numCache>
                <c:formatCode>\$#,##0.00</c:formatCode>
                <c:ptCount val="6"/>
                <c:pt idx="0">
                  <c:v>5141.41916666667</c:v>
                </c:pt>
                <c:pt idx="1">
                  <c:v>2398.52583333333</c:v>
                </c:pt>
                <c:pt idx="2">
                  <c:v>1663.04416666667</c:v>
                </c:pt>
                <c:pt idx="3">
                  <c:v>1765.42333333333</c:v>
                </c:pt>
                <c:pt idx="4">
                  <c:v>1932.07916666667</c:v>
                </c:pt>
                <c:pt idx="5">
                  <c:v>977.498333333333</c:v>
                </c:pt>
              </c:numCache>
            </c:numRef>
          </c:val>
        </c:ser>
        <c:gapWidth val="150"/>
        <c:overlap val="0"/>
        <c:axId val="50276062"/>
        <c:axId val="37550681"/>
      </c:barChart>
      <c:catAx>
        <c:axId val="50276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50681"/>
        <c:crosses val="autoZero"/>
        <c:auto val="1"/>
        <c:lblAlgn val="ctr"/>
        <c:lblOffset val="100"/>
        <c:noMultiLvlLbl val="0"/>
      </c:catAx>
      <c:valAx>
        <c:axId val="375506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76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41400</xdr:rowOff>
    </xdr:from>
    <xdr:to>
      <xdr:col>8</xdr:col>
      <xdr:colOff>236880</xdr:colOff>
      <xdr:row>25</xdr:row>
      <xdr:rowOff>42480</xdr:rowOff>
    </xdr:to>
    <xdr:graphicFrame>
      <xdr:nvGraphicFramePr>
        <xdr:cNvPr id="0" name="Chart 1"/>
        <xdr:cNvGraphicFramePr/>
      </xdr:nvGraphicFramePr>
      <xdr:xfrm>
        <a:off x="0" y="1714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41400</xdr:rowOff>
    </xdr:from>
    <xdr:to>
      <xdr:col>8</xdr:col>
      <xdr:colOff>236880</xdr:colOff>
      <xdr:row>43</xdr:row>
      <xdr:rowOff>42480</xdr:rowOff>
    </xdr:to>
    <xdr:graphicFrame>
      <xdr:nvGraphicFramePr>
        <xdr:cNvPr id="1" name="Chart 2"/>
        <xdr:cNvGraphicFramePr/>
      </xdr:nvGraphicFramePr>
      <xdr:xfrm>
        <a:off x="0" y="5143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30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8" hidden="false" customHeight="true" outlineLevel="0" collapsed="false">
      <c r="B6" s="4" t="s">
        <v>2</v>
      </c>
    </row>
    <row r="7" customFormat="false" ht="64.9" hidden="false" customHeight="false" outlineLevel="0" collapsed="false">
      <c r="B7" s="3" t="s">
        <v>3</v>
      </c>
    </row>
    <row r="8" customFormat="false" ht="15" hidden="false" customHeight="false" outlineLevel="0" collapsed="false">
      <c r="B8" s="3"/>
    </row>
    <row r="9" customFormat="false" ht="18" hidden="false" customHeight="true" outlineLevel="0" collapsed="false">
      <c r="B9" s="4" t="s">
        <v>4</v>
      </c>
    </row>
    <row r="10" customFormat="false" ht="52.2" hidden="false" customHeight="false" outlineLevel="0" collapsed="false">
      <c r="B10" s="3" t="s">
        <v>5</v>
      </c>
    </row>
    <row r="11" customFormat="false" ht="15" hidden="false" customHeight="false" outlineLevel="0" collapsed="false">
      <c r="B11" s="3"/>
    </row>
    <row r="12" customFormat="false" ht="18" hidden="false" customHeight="true" outlineLevel="0" collapsed="false">
      <c r="B12" s="4" t="s">
        <v>6</v>
      </c>
    </row>
    <row r="13" customFormat="false" ht="39.55" hidden="false" customHeight="false" outlineLevel="0" collapsed="false">
      <c r="B13" s="3" t="s">
        <v>7</v>
      </c>
    </row>
    <row r="14" customFormat="false" ht="26.85" hidden="false" customHeight="false" outlineLevel="0" collapsed="false">
      <c r="B14" s="3" t="s">
        <v>8</v>
      </c>
    </row>
    <row r="15" customFormat="false" ht="26.8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3"/>
    </row>
    <row r="17" customFormat="false" ht="18" hidden="false" customHeight="true" outlineLevel="0" collapsed="false">
      <c r="B17" s="4" t="s">
        <v>10</v>
      </c>
    </row>
    <row r="18" customFormat="false" ht="15" hidden="false" customHeight="false" outlineLevel="0" collapsed="false">
      <c r="B18" s="3" t="s">
        <v>11</v>
      </c>
    </row>
    <row r="19" customFormat="false" ht="15" hidden="false" customHeight="false" outlineLevel="0" collapsed="false">
      <c r="B19" s="3" t="s">
        <v>12</v>
      </c>
    </row>
    <row r="20" customFormat="false" ht="26.85" hidden="false" customHeight="false" outlineLevel="0" collapsed="false">
      <c r="B20" s="3" t="s">
        <v>13</v>
      </c>
    </row>
    <row r="21" customFormat="false" ht="39.55" hidden="false" customHeight="false" outlineLevel="0" collapsed="false">
      <c r="B21" s="3" t="s">
        <v>14</v>
      </c>
    </row>
    <row r="22" customFormat="false" ht="15" hidden="false" customHeight="false" outlineLevel="0" collapsed="false">
      <c r="B22" s="3"/>
    </row>
    <row r="23" customFormat="false" ht="18" hidden="false" customHeight="true" outlineLevel="0" collapsed="false">
      <c r="B23" s="4" t="s">
        <v>15</v>
      </c>
    </row>
    <row r="24" customFormat="false" ht="26.85" hidden="false" customHeight="false" outlineLevel="0" collapsed="false">
      <c r="B24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9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9"/>
    <col collapsed="false" customWidth="true" hidden="false" outlineLevel="0" max="12" min="12" style="0" width="15"/>
    <col collapsed="false" customWidth="true" hidden="false" outlineLevel="0" max="13" min="13" style="0" width="20"/>
  </cols>
  <sheetData>
    <row r="1" customFormat="false" ht="31.5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</row>
    <row r="2" customFormat="false" ht="15" hidden="false" customHeight="false" outlineLevel="0" collapsed="false">
      <c r="A2" s="6" t="s">
        <v>30</v>
      </c>
      <c r="B2" s="6" t="n">
        <v>1</v>
      </c>
      <c r="C2" s="6" t="n">
        <v>3</v>
      </c>
      <c r="D2" s="6" t="s">
        <v>31</v>
      </c>
      <c r="E2" s="6" t="s">
        <v>32</v>
      </c>
      <c r="F2" s="7" t="n">
        <v>472.42</v>
      </c>
      <c r="G2" s="8" t="n">
        <f aca="false">F2/C2</f>
        <v>157.473333333333</v>
      </c>
      <c r="H2" s="8" t="n">
        <f aca="false">IF(B2=1,F2,0)</f>
        <v>472.42</v>
      </c>
      <c r="I2" s="8" t="n">
        <f aca="false">IF(B2=C2,F2,0)</f>
        <v>0</v>
      </c>
      <c r="J2" s="9" t="n">
        <f aca="false">2^B2</f>
        <v>2</v>
      </c>
      <c r="K2" s="8" t="n">
        <f aca="false">F2*J2/SUMIFS($J$2:$J$108,$A$2:$A$108,A2)</f>
        <v>67.4885714285714</v>
      </c>
      <c r="L2" s="10" t="n">
        <f aca="false">IF(C2=1,1,IF(C2=2,0.5,IF(OR(B2=1,B2=C2),0.4,0.2/(C2-2))))</f>
        <v>0.4</v>
      </c>
      <c r="M2" s="8" t="n">
        <f aca="false">F2*L2</f>
        <v>188.968</v>
      </c>
    </row>
    <row r="3" customFormat="false" ht="15" hidden="false" customHeight="false" outlineLevel="0" collapsed="false">
      <c r="A3" s="6" t="s">
        <v>30</v>
      </c>
      <c r="B3" s="6" t="n">
        <v>2</v>
      </c>
      <c r="C3" s="6" t="n">
        <v>3</v>
      </c>
      <c r="D3" s="6" t="s">
        <v>31</v>
      </c>
      <c r="E3" s="6" t="s">
        <v>33</v>
      </c>
      <c r="F3" s="7" t="n">
        <v>472.42</v>
      </c>
      <c r="G3" s="8" t="n">
        <f aca="false">F3/C3</f>
        <v>157.473333333333</v>
      </c>
      <c r="H3" s="8" t="n">
        <f aca="false">IF(B3=1,F3,0)</f>
        <v>0</v>
      </c>
      <c r="I3" s="8" t="n">
        <f aca="false">IF(B3=C3,F3,0)</f>
        <v>0</v>
      </c>
      <c r="J3" s="9" t="n">
        <f aca="false">2^B3</f>
        <v>4</v>
      </c>
      <c r="K3" s="8" t="n">
        <f aca="false">F3*J3/SUMIFS($J$2:$J$108,$A$2:$A$108,A3)</f>
        <v>134.977142857143</v>
      </c>
      <c r="L3" s="10" t="n">
        <f aca="false">IF(C3=1,1,IF(C3=2,0.5,IF(OR(B3=1,B3=C3),0.4,0.2/(C3-2))))</f>
        <v>0.2</v>
      </c>
      <c r="M3" s="8" t="n">
        <f aca="false">F3*L3</f>
        <v>94.484</v>
      </c>
    </row>
    <row r="4" customFormat="false" ht="15" hidden="false" customHeight="false" outlineLevel="0" collapsed="false">
      <c r="A4" s="6" t="s">
        <v>30</v>
      </c>
      <c r="B4" s="6" t="n">
        <v>3</v>
      </c>
      <c r="C4" s="6" t="n">
        <v>3</v>
      </c>
      <c r="D4" s="6" t="s">
        <v>31</v>
      </c>
      <c r="E4" s="6" t="s">
        <v>34</v>
      </c>
      <c r="F4" s="7" t="n">
        <v>472.42</v>
      </c>
      <c r="G4" s="8" t="n">
        <f aca="false">F4/C4</f>
        <v>157.473333333333</v>
      </c>
      <c r="H4" s="8" t="n">
        <f aca="false">IF(B4=1,F4,0)</f>
        <v>0</v>
      </c>
      <c r="I4" s="8" t="n">
        <f aca="false">IF(B4=C4,F4,0)</f>
        <v>472.42</v>
      </c>
      <c r="J4" s="9" t="n">
        <f aca="false">2^B4</f>
        <v>8</v>
      </c>
      <c r="K4" s="8" t="n">
        <f aca="false">F4*J4/SUMIFS($J$2:$J$108,$A$2:$A$108,A4)</f>
        <v>269.954285714286</v>
      </c>
      <c r="L4" s="10" t="n">
        <f aca="false">IF(C4=1,1,IF(C4=2,0.5,IF(OR(B4=1,B4=C4),0.4,0.2/(C4-2))))</f>
        <v>0.4</v>
      </c>
      <c r="M4" s="8" t="n">
        <f aca="false">F4*L4</f>
        <v>188.968</v>
      </c>
    </row>
    <row r="5" customFormat="false" ht="15" hidden="false" customHeight="false" outlineLevel="0" collapsed="false">
      <c r="A5" s="6" t="s">
        <v>35</v>
      </c>
      <c r="B5" s="6" t="n">
        <v>1</v>
      </c>
      <c r="C5" s="6" t="n">
        <v>2</v>
      </c>
      <c r="D5" s="6" t="s">
        <v>31</v>
      </c>
      <c r="E5" s="6" t="s">
        <v>36</v>
      </c>
      <c r="F5" s="7" t="n">
        <v>343</v>
      </c>
      <c r="G5" s="8" t="n">
        <f aca="false">F5/C5</f>
        <v>171.5</v>
      </c>
      <c r="H5" s="8" t="n">
        <f aca="false">IF(B5=1,F5,0)</f>
        <v>343</v>
      </c>
      <c r="I5" s="8" t="n">
        <f aca="false">IF(B5=C5,F5,0)</f>
        <v>0</v>
      </c>
      <c r="J5" s="9" t="n">
        <f aca="false">2^B5</f>
        <v>2</v>
      </c>
      <c r="K5" s="8" t="n">
        <f aca="false">F5*J5/SUMIFS($J$2:$J$108,$A$2:$A$108,A5)</f>
        <v>114.333333333333</v>
      </c>
      <c r="L5" s="10" t="n">
        <f aca="false">IF(C5=1,1,IF(C5=2,0.5,IF(OR(B5=1,B5=C5),0.4,0.2/(C5-2))))</f>
        <v>0.5</v>
      </c>
      <c r="M5" s="8" t="n">
        <f aca="false">F5*L5</f>
        <v>171.5</v>
      </c>
    </row>
    <row r="6" customFormat="false" ht="15" hidden="false" customHeight="false" outlineLevel="0" collapsed="false">
      <c r="A6" s="6" t="s">
        <v>35</v>
      </c>
      <c r="B6" s="6" t="n">
        <v>2</v>
      </c>
      <c r="C6" s="6" t="n">
        <v>2</v>
      </c>
      <c r="D6" s="6" t="s">
        <v>31</v>
      </c>
      <c r="E6" s="6" t="s">
        <v>37</v>
      </c>
      <c r="F6" s="7" t="n">
        <v>343</v>
      </c>
      <c r="G6" s="8" t="n">
        <f aca="false">F6/C6</f>
        <v>171.5</v>
      </c>
      <c r="H6" s="8" t="n">
        <f aca="false">IF(B6=1,F6,0)</f>
        <v>0</v>
      </c>
      <c r="I6" s="8" t="n">
        <f aca="false">IF(B6=C6,F6,0)</f>
        <v>343</v>
      </c>
      <c r="J6" s="9" t="n">
        <f aca="false">2^B6</f>
        <v>4</v>
      </c>
      <c r="K6" s="8" t="n">
        <f aca="false">F6*J6/SUMIFS($J$2:$J$108,$A$2:$A$108,A6)</f>
        <v>228.666666666667</v>
      </c>
      <c r="L6" s="10" t="n">
        <f aca="false">IF(C6=1,1,IF(C6=2,0.5,IF(OR(B6=1,B6=C6),0.4,0.2/(C6-2))))</f>
        <v>0.5</v>
      </c>
      <c r="M6" s="8" t="n">
        <f aca="false">F6*L6</f>
        <v>171.5</v>
      </c>
    </row>
    <row r="7" customFormat="false" ht="15" hidden="false" customHeight="false" outlineLevel="0" collapsed="false">
      <c r="A7" s="6" t="s">
        <v>38</v>
      </c>
      <c r="B7" s="6" t="n">
        <v>1</v>
      </c>
      <c r="C7" s="6" t="n">
        <v>3</v>
      </c>
      <c r="D7" s="6" t="s">
        <v>39</v>
      </c>
      <c r="E7" s="6" t="s">
        <v>40</v>
      </c>
      <c r="F7" s="7" t="n">
        <v>215.79</v>
      </c>
      <c r="G7" s="8" t="n">
        <f aca="false">F7/C7</f>
        <v>71.93</v>
      </c>
      <c r="H7" s="8" t="n">
        <f aca="false">IF(B7=1,F7,0)</f>
        <v>215.79</v>
      </c>
      <c r="I7" s="8" t="n">
        <f aca="false">IF(B7=C7,F7,0)</f>
        <v>0</v>
      </c>
      <c r="J7" s="9" t="n">
        <f aca="false">2^B7</f>
        <v>2</v>
      </c>
      <c r="K7" s="8" t="n">
        <f aca="false">F7*J7/SUMIFS($J$2:$J$108,$A$2:$A$108,A7)</f>
        <v>30.8271428571429</v>
      </c>
      <c r="L7" s="10" t="n">
        <f aca="false">IF(C7=1,1,IF(C7=2,0.5,IF(OR(B7=1,B7=C7),0.4,0.2/(C7-2))))</f>
        <v>0.4</v>
      </c>
      <c r="M7" s="8" t="n">
        <f aca="false">F7*L7</f>
        <v>86.316</v>
      </c>
    </row>
    <row r="8" customFormat="false" ht="15" hidden="false" customHeight="false" outlineLevel="0" collapsed="false">
      <c r="A8" s="6" t="s">
        <v>38</v>
      </c>
      <c r="B8" s="6" t="n">
        <v>2</v>
      </c>
      <c r="C8" s="6" t="n">
        <v>3</v>
      </c>
      <c r="D8" s="6" t="s">
        <v>41</v>
      </c>
      <c r="E8" s="6" t="s">
        <v>42</v>
      </c>
      <c r="F8" s="7" t="n">
        <v>215.79</v>
      </c>
      <c r="G8" s="8" t="n">
        <f aca="false">F8/C8</f>
        <v>71.93</v>
      </c>
      <c r="H8" s="8" t="n">
        <f aca="false">IF(B8=1,F8,0)</f>
        <v>0</v>
      </c>
      <c r="I8" s="8" t="n">
        <f aca="false">IF(B8=C8,F8,0)</f>
        <v>0</v>
      </c>
      <c r="J8" s="9" t="n">
        <f aca="false">2^B8</f>
        <v>4</v>
      </c>
      <c r="K8" s="8" t="n">
        <f aca="false">F8*J8/SUMIFS($J$2:$J$108,$A$2:$A$108,A8)</f>
        <v>61.6542857142857</v>
      </c>
      <c r="L8" s="10" t="n">
        <f aca="false">IF(C8=1,1,IF(C8=2,0.5,IF(OR(B8=1,B8=C8),0.4,0.2/(C8-2))))</f>
        <v>0.2</v>
      </c>
      <c r="M8" s="8" t="n">
        <f aca="false">F8*L8</f>
        <v>43.158</v>
      </c>
    </row>
    <row r="9" customFormat="false" ht="15" hidden="false" customHeight="false" outlineLevel="0" collapsed="false">
      <c r="A9" s="6" t="s">
        <v>38</v>
      </c>
      <c r="B9" s="6" t="n">
        <v>3</v>
      </c>
      <c r="C9" s="6" t="n">
        <v>3</v>
      </c>
      <c r="D9" s="6" t="s">
        <v>41</v>
      </c>
      <c r="E9" s="6" t="s">
        <v>43</v>
      </c>
      <c r="F9" s="7" t="n">
        <v>215.79</v>
      </c>
      <c r="G9" s="8" t="n">
        <f aca="false">F9/C9</f>
        <v>71.93</v>
      </c>
      <c r="H9" s="8" t="n">
        <f aca="false">IF(B9=1,F9,0)</f>
        <v>0</v>
      </c>
      <c r="I9" s="8" t="n">
        <f aca="false">IF(B9=C9,F9,0)</f>
        <v>215.79</v>
      </c>
      <c r="J9" s="9" t="n">
        <f aca="false">2^B9</f>
        <v>8</v>
      </c>
      <c r="K9" s="8" t="n">
        <f aca="false">F9*J9/SUMIFS($J$2:$J$108,$A$2:$A$108,A9)</f>
        <v>123.308571428571</v>
      </c>
      <c r="L9" s="10" t="n">
        <f aca="false">IF(C9=1,1,IF(C9=2,0.5,IF(OR(B9=1,B9=C9),0.4,0.2/(C9-2))))</f>
        <v>0.4</v>
      </c>
      <c r="M9" s="8" t="n">
        <f aca="false">F9*L9</f>
        <v>86.316</v>
      </c>
    </row>
    <row r="10" customFormat="false" ht="15" hidden="false" customHeight="false" outlineLevel="0" collapsed="false">
      <c r="A10" s="6" t="s">
        <v>44</v>
      </c>
      <c r="B10" s="6" t="n">
        <v>1</v>
      </c>
      <c r="C10" s="6" t="n">
        <v>2</v>
      </c>
      <c r="D10" s="6" t="s">
        <v>31</v>
      </c>
      <c r="E10" s="6" t="s">
        <v>45</v>
      </c>
      <c r="F10" s="7" t="n">
        <v>248.49</v>
      </c>
      <c r="G10" s="8" t="n">
        <f aca="false">F10/C10</f>
        <v>124.245</v>
      </c>
      <c r="H10" s="8" t="n">
        <f aca="false">IF(B10=1,F10,0)</f>
        <v>248.49</v>
      </c>
      <c r="I10" s="8" t="n">
        <f aca="false">IF(B10=C10,F10,0)</f>
        <v>0</v>
      </c>
      <c r="J10" s="9" t="n">
        <f aca="false">2^B10</f>
        <v>2</v>
      </c>
      <c r="K10" s="8" t="n">
        <f aca="false">F10*J10/SUMIFS($J$2:$J$108,$A$2:$A$108,A10)</f>
        <v>82.83</v>
      </c>
      <c r="L10" s="10" t="n">
        <f aca="false">IF(C10=1,1,IF(C10=2,0.5,IF(OR(B10=1,B10=C10),0.4,0.2/(C10-2))))</f>
        <v>0.5</v>
      </c>
      <c r="M10" s="8" t="n">
        <f aca="false">F10*L10</f>
        <v>124.245</v>
      </c>
    </row>
    <row r="11" customFormat="false" ht="15" hidden="false" customHeight="false" outlineLevel="0" collapsed="false">
      <c r="A11" s="6" t="s">
        <v>44</v>
      </c>
      <c r="B11" s="6" t="n">
        <v>2</v>
      </c>
      <c r="C11" s="6" t="n">
        <v>2</v>
      </c>
      <c r="D11" s="6" t="s">
        <v>46</v>
      </c>
      <c r="E11" s="6" t="s">
        <v>47</v>
      </c>
      <c r="F11" s="7" t="n">
        <v>248.49</v>
      </c>
      <c r="G11" s="8" t="n">
        <f aca="false">F11/C11</f>
        <v>124.245</v>
      </c>
      <c r="H11" s="8" t="n">
        <f aca="false">IF(B11=1,F11,0)</f>
        <v>0</v>
      </c>
      <c r="I11" s="8" t="n">
        <f aca="false">IF(B11=C11,F11,0)</f>
        <v>248.49</v>
      </c>
      <c r="J11" s="9" t="n">
        <f aca="false">2^B11</f>
        <v>4</v>
      </c>
      <c r="K11" s="8" t="n">
        <f aca="false">F11*J11/SUMIFS($J$2:$J$108,$A$2:$A$108,A11)</f>
        <v>165.66</v>
      </c>
      <c r="L11" s="10" t="n">
        <f aca="false">IF(C11=1,1,IF(C11=2,0.5,IF(OR(B11=1,B11=C11),0.4,0.2/(C11-2))))</f>
        <v>0.5</v>
      </c>
      <c r="M11" s="8" t="n">
        <f aca="false">F11*L11</f>
        <v>124.245</v>
      </c>
    </row>
    <row r="12" customFormat="false" ht="15" hidden="false" customHeight="false" outlineLevel="0" collapsed="false">
      <c r="A12" s="6" t="s">
        <v>48</v>
      </c>
      <c r="B12" s="6" t="n">
        <v>1</v>
      </c>
      <c r="C12" s="6" t="n">
        <v>2</v>
      </c>
      <c r="D12" s="6" t="s">
        <v>41</v>
      </c>
      <c r="E12" s="6" t="s">
        <v>49</v>
      </c>
      <c r="F12" s="7" t="n">
        <v>84.33</v>
      </c>
      <c r="G12" s="8" t="n">
        <f aca="false">F12/C12</f>
        <v>42.165</v>
      </c>
      <c r="H12" s="8" t="n">
        <f aca="false">IF(B12=1,F12,0)</f>
        <v>84.33</v>
      </c>
      <c r="I12" s="8" t="n">
        <f aca="false">IF(B12=C12,F12,0)</f>
        <v>0</v>
      </c>
      <c r="J12" s="9" t="n">
        <f aca="false">2^B12</f>
        <v>2</v>
      </c>
      <c r="K12" s="8" t="n">
        <f aca="false">F12*J12/SUMIFS($J$2:$J$108,$A$2:$A$108,A12)</f>
        <v>28.11</v>
      </c>
      <c r="L12" s="10" t="n">
        <f aca="false">IF(C12=1,1,IF(C12=2,0.5,IF(OR(B12=1,B12=C12),0.4,0.2/(C12-2))))</f>
        <v>0.5</v>
      </c>
      <c r="M12" s="8" t="n">
        <f aca="false">F12*L12</f>
        <v>42.165</v>
      </c>
    </row>
    <row r="13" customFormat="false" ht="15" hidden="false" customHeight="false" outlineLevel="0" collapsed="false">
      <c r="A13" s="6" t="s">
        <v>48</v>
      </c>
      <c r="B13" s="6" t="n">
        <v>2</v>
      </c>
      <c r="C13" s="6" t="n">
        <v>2</v>
      </c>
      <c r="D13" s="6" t="s">
        <v>31</v>
      </c>
      <c r="E13" s="6" t="s">
        <v>50</v>
      </c>
      <c r="F13" s="7" t="n">
        <v>84.33</v>
      </c>
      <c r="G13" s="8" t="n">
        <f aca="false">F13/C13</f>
        <v>42.165</v>
      </c>
      <c r="H13" s="8" t="n">
        <f aca="false">IF(B13=1,F13,0)</f>
        <v>0</v>
      </c>
      <c r="I13" s="8" t="n">
        <f aca="false">IF(B13=C13,F13,0)</f>
        <v>84.33</v>
      </c>
      <c r="J13" s="9" t="n">
        <f aca="false">2^B13</f>
        <v>4</v>
      </c>
      <c r="K13" s="8" t="n">
        <f aca="false">F13*J13/SUMIFS($J$2:$J$108,$A$2:$A$108,A13)</f>
        <v>56.22</v>
      </c>
      <c r="L13" s="10" t="n">
        <f aca="false">IF(C13=1,1,IF(C13=2,0.5,IF(OR(B13=1,B13=C13),0.4,0.2/(C13-2))))</f>
        <v>0.5</v>
      </c>
      <c r="M13" s="8" t="n">
        <f aca="false">F13*L13</f>
        <v>42.165</v>
      </c>
    </row>
    <row r="14" customFormat="false" ht="15" hidden="false" customHeight="false" outlineLevel="0" collapsed="false">
      <c r="A14" s="6" t="s">
        <v>51</v>
      </c>
      <c r="B14" s="6" t="n">
        <v>1</v>
      </c>
      <c r="C14" s="6" t="n">
        <v>4</v>
      </c>
      <c r="D14" s="6" t="s">
        <v>41</v>
      </c>
      <c r="E14" s="6" t="s">
        <v>52</v>
      </c>
      <c r="F14" s="7" t="n">
        <v>542.56</v>
      </c>
      <c r="G14" s="8" t="n">
        <f aca="false">F14/C14</f>
        <v>135.64</v>
      </c>
      <c r="H14" s="8" t="n">
        <f aca="false">IF(B14=1,F14,0)</f>
        <v>542.56</v>
      </c>
      <c r="I14" s="8" t="n">
        <f aca="false">IF(B14=C14,F14,0)</f>
        <v>0</v>
      </c>
      <c r="J14" s="9" t="n">
        <f aca="false">2^B14</f>
        <v>2</v>
      </c>
      <c r="K14" s="8" t="n">
        <f aca="false">F14*J14/SUMIFS($J$2:$J$108,$A$2:$A$108,A14)</f>
        <v>36.1706666666667</v>
      </c>
      <c r="L14" s="10" t="n">
        <f aca="false">IF(C14=1,1,IF(C14=2,0.5,IF(OR(B14=1,B14=C14),0.4,0.2/(C14-2))))</f>
        <v>0.4</v>
      </c>
      <c r="M14" s="8" t="n">
        <f aca="false">F14*L14</f>
        <v>217.024</v>
      </c>
    </row>
    <row r="15" customFormat="false" ht="15" hidden="false" customHeight="false" outlineLevel="0" collapsed="false">
      <c r="A15" s="6" t="s">
        <v>51</v>
      </c>
      <c r="B15" s="6" t="n">
        <v>2</v>
      </c>
      <c r="C15" s="6" t="n">
        <v>4</v>
      </c>
      <c r="D15" s="6" t="s">
        <v>53</v>
      </c>
      <c r="E15" s="6" t="s">
        <v>54</v>
      </c>
      <c r="F15" s="7" t="n">
        <v>542.56</v>
      </c>
      <c r="G15" s="8" t="n">
        <f aca="false">F15/C15</f>
        <v>135.64</v>
      </c>
      <c r="H15" s="8" t="n">
        <f aca="false">IF(B15=1,F15,0)</f>
        <v>0</v>
      </c>
      <c r="I15" s="8" t="n">
        <f aca="false">IF(B15=C15,F15,0)</f>
        <v>0</v>
      </c>
      <c r="J15" s="9" t="n">
        <f aca="false">2^B15</f>
        <v>4</v>
      </c>
      <c r="K15" s="8" t="n">
        <f aca="false">F15*J15/SUMIFS($J$2:$J$108,$A$2:$A$108,A15)</f>
        <v>72.3413333333333</v>
      </c>
      <c r="L15" s="10" t="n">
        <f aca="false">IF(C15=1,1,IF(C15=2,0.5,IF(OR(B15=1,B15=C15),0.4,0.2/(C15-2))))</f>
        <v>0.1</v>
      </c>
      <c r="M15" s="8" t="n">
        <f aca="false">F15*L15</f>
        <v>54.256</v>
      </c>
    </row>
    <row r="16" customFormat="false" ht="15" hidden="false" customHeight="false" outlineLevel="0" collapsed="false">
      <c r="A16" s="6" t="s">
        <v>51</v>
      </c>
      <c r="B16" s="6" t="n">
        <v>3</v>
      </c>
      <c r="C16" s="6" t="n">
        <v>4</v>
      </c>
      <c r="D16" s="6" t="s">
        <v>55</v>
      </c>
      <c r="E16" s="6" t="s">
        <v>56</v>
      </c>
      <c r="F16" s="7" t="n">
        <v>542.56</v>
      </c>
      <c r="G16" s="8" t="n">
        <f aca="false">F16/C16</f>
        <v>135.64</v>
      </c>
      <c r="H16" s="8" t="n">
        <f aca="false">IF(B16=1,F16,0)</f>
        <v>0</v>
      </c>
      <c r="I16" s="8" t="n">
        <f aca="false">IF(B16=C16,F16,0)</f>
        <v>0</v>
      </c>
      <c r="J16" s="9" t="n">
        <f aca="false">2^B16</f>
        <v>8</v>
      </c>
      <c r="K16" s="8" t="n">
        <f aca="false">F16*J16/SUMIFS($J$2:$J$108,$A$2:$A$108,A16)</f>
        <v>144.682666666667</v>
      </c>
      <c r="L16" s="10" t="n">
        <f aca="false">IF(C16=1,1,IF(C16=2,0.5,IF(OR(B16=1,B16=C16),0.4,0.2/(C16-2))))</f>
        <v>0.1</v>
      </c>
      <c r="M16" s="8" t="n">
        <f aca="false">F16*L16</f>
        <v>54.256</v>
      </c>
    </row>
    <row r="17" customFormat="false" ht="15" hidden="false" customHeight="false" outlineLevel="0" collapsed="false">
      <c r="A17" s="6" t="s">
        <v>51</v>
      </c>
      <c r="B17" s="6" t="n">
        <v>4</v>
      </c>
      <c r="C17" s="6" t="n">
        <v>4</v>
      </c>
      <c r="D17" s="6" t="s">
        <v>53</v>
      </c>
      <c r="E17" s="6" t="s">
        <v>57</v>
      </c>
      <c r="F17" s="7" t="n">
        <v>542.56</v>
      </c>
      <c r="G17" s="8" t="n">
        <f aca="false">F17/C17</f>
        <v>135.64</v>
      </c>
      <c r="H17" s="8" t="n">
        <f aca="false">IF(B17=1,F17,0)</f>
        <v>0</v>
      </c>
      <c r="I17" s="8" t="n">
        <f aca="false">IF(B17=C17,F17,0)</f>
        <v>542.56</v>
      </c>
      <c r="J17" s="9" t="n">
        <f aca="false">2^B17</f>
        <v>16</v>
      </c>
      <c r="K17" s="8" t="n">
        <f aca="false">F17*J17/SUMIFS($J$2:$J$108,$A$2:$A$108,A17)</f>
        <v>289.365333333333</v>
      </c>
      <c r="L17" s="10" t="n">
        <f aca="false">IF(C17=1,1,IF(C17=2,0.5,IF(OR(B17=1,B17=C17),0.4,0.2/(C17-2))))</f>
        <v>0.4</v>
      </c>
      <c r="M17" s="8" t="n">
        <f aca="false">F17*L17</f>
        <v>217.024</v>
      </c>
    </row>
    <row r="18" customFormat="false" ht="15" hidden="false" customHeight="false" outlineLevel="0" collapsed="false">
      <c r="A18" s="6" t="s">
        <v>58</v>
      </c>
      <c r="B18" s="6" t="n">
        <v>1</v>
      </c>
      <c r="C18" s="6" t="n">
        <v>3</v>
      </c>
      <c r="D18" s="6" t="s">
        <v>46</v>
      </c>
      <c r="E18" s="6" t="s">
        <v>49</v>
      </c>
      <c r="F18" s="7" t="n">
        <v>272.87</v>
      </c>
      <c r="G18" s="8" t="n">
        <f aca="false">F18/C18</f>
        <v>90.9566666666667</v>
      </c>
      <c r="H18" s="8" t="n">
        <f aca="false">IF(B18=1,F18,0)</f>
        <v>272.87</v>
      </c>
      <c r="I18" s="8" t="n">
        <f aca="false">IF(B18=C18,F18,0)</f>
        <v>0</v>
      </c>
      <c r="J18" s="9" t="n">
        <f aca="false">2^B18</f>
        <v>2</v>
      </c>
      <c r="K18" s="8" t="n">
        <f aca="false">F18*J18/SUMIFS($J$2:$J$108,$A$2:$A$108,A18)</f>
        <v>38.9814285714286</v>
      </c>
      <c r="L18" s="10" t="n">
        <f aca="false">IF(C18=1,1,IF(C18=2,0.5,IF(OR(B18=1,B18=C18),0.4,0.2/(C18-2))))</f>
        <v>0.4</v>
      </c>
      <c r="M18" s="8" t="n">
        <f aca="false">F18*L18</f>
        <v>109.148</v>
      </c>
    </row>
    <row r="19" customFormat="false" ht="15" hidden="false" customHeight="false" outlineLevel="0" collapsed="false">
      <c r="A19" s="6" t="s">
        <v>58</v>
      </c>
      <c r="B19" s="6" t="n">
        <v>2</v>
      </c>
      <c r="C19" s="6" t="n">
        <v>3</v>
      </c>
      <c r="D19" s="6" t="s">
        <v>55</v>
      </c>
      <c r="E19" s="6" t="s">
        <v>59</v>
      </c>
      <c r="F19" s="7" t="n">
        <v>272.87</v>
      </c>
      <c r="G19" s="8" t="n">
        <f aca="false">F19/C19</f>
        <v>90.9566666666667</v>
      </c>
      <c r="H19" s="8" t="n">
        <f aca="false">IF(B19=1,F19,0)</f>
        <v>0</v>
      </c>
      <c r="I19" s="8" t="n">
        <f aca="false">IF(B19=C19,F19,0)</f>
        <v>0</v>
      </c>
      <c r="J19" s="9" t="n">
        <f aca="false">2^B19</f>
        <v>4</v>
      </c>
      <c r="K19" s="8" t="n">
        <f aca="false">F19*J19/SUMIFS($J$2:$J$108,$A$2:$A$108,A19)</f>
        <v>77.9628571428572</v>
      </c>
      <c r="L19" s="10" t="n">
        <f aca="false">IF(C19=1,1,IF(C19=2,0.5,IF(OR(B19=1,B19=C19),0.4,0.2/(C19-2))))</f>
        <v>0.2</v>
      </c>
      <c r="M19" s="8" t="n">
        <f aca="false">F19*L19</f>
        <v>54.574</v>
      </c>
    </row>
    <row r="20" customFormat="false" ht="15" hidden="false" customHeight="false" outlineLevel="0" collapsed="false">
      <c r="A20" s="6" t="s">
        <v>58</v>
      </c>
      <c r="B20" s="6" t="n">
        <v>3</v>
      </c>
      <c r="C20" s="6" t="n">
        <v>3</v>
      </c>
      <c r="D20" s="6" t="s">
        <v>55</v>
      </c>
      <c r="E20" s="6" t="s">
        <v>60</v>
      </c>
      <c r="F20" s="7" t="n">
        <v>272.87</v>
      </c>
      <c r="G20" s="8" t="n">
        <f aca="false">F20/C20</f>
        <v>90.9566666666667</v>
      </c>
      <c r="H20" s="8" t="n">
        <f aca="false">IF(B20=1,F20,0)</f>
        <v>0</v>
      </c>
      <c r="I20" s="8" t="n">
        <f aca="false">IF(B20=C20,F20,0)</f>
        <v>272.87</v>
      </c>
      <c r="J20" s="9" t="n">
        <f aca="false">2^B20</f>
        <v>8</v>
      </c>
      <c r="K20" s="8" t="n">
        <f aca="false">F20*J20/SUMIFS($J$2:$J$108,$A$2:$A$108,A20)</f>
        <v>155.925714285714</v>
      </c>
      <c r="L20" s="10" t="n">
        <f aca="false">IF(C20=1,1,IF(C20=2,0.5,IF(OR(B20=1,B20=C20),0.4,0.2/(C20-2))))</f>
        <v>0.4</v>
      </c>
      <c r="M20" s="8" t="n">
        <f aca="false">F20*L20</f>
        <v>109.148</v>
      </c>
    </row>
    <row r="21" customFormat="false" ht="15" hidden="false" customHeight="false" outlineLevel="0" collapsed="false">
      <c r="A21" s="6" t="s">
        <v>61</v>
      </c>
      <c r="B21" s="6" t="n">
        <v>1</v>
      </c>
      <c r="C21" s="6" t="n">
        <v>2</v>
      </c>
      <c r="D21" s="6" t="s">
        <v>39</v>
      </c>
      <c r="E21" s="6" t="s">
        <v>62</v>
      </c>
      <c r="F21" s="7" t="n">
        <v>442.79</v>
      </c>
      <c r="G21" s="8" t="n">
        <f aca="false">F21/C21</f>
        <v>221.395</v>
      </c>
      <c r="H21" s="8" t="n">
        <f aca="false">IF(B21=1,F21,0)</f>
        <v>442.79</v>
      </c>
      <c r="I21" s="8" t="n">
        <f aca="false">IF(B21=C21,F21,0)</f>
        <v>0</v>
      </c>
      <c r="J21" s="9" t="n">
        <f aca="false">2^B21</f>
        <v>2</v>
      </c>
      <c r="K21" s="8" t="n">
        <f aca="false">F21*J21/SUMIFS($J$2:$J$108,$A$2:$A$108,A21)</f>
        <v>147.596666666667</v>
      </c>
      <c r="L21" s="10" t="n">
        <f aca="false">IF(C21=1,1,IF(C21=2,0.5,IF(OR(B21=1,B21=C21),0.4,0.2/(C21-2))))</f>
        <v>0.5</v>
      </c>
      <c r="M21" s="8" t="n">
        <f aca="false">F21*L21</f>
        <v>221.395</v>
      </c>
    </row>
    <row r="22" customFormat="false" ht="15" hidden="false" customHeight="false" outlineLevel="0" collapsed="false">
      <c r="A22" s="6" t="s">
        <v>61</v>
      </c>
      <c r="B22" s="6" t="n">
        <v>2</v>
      </c>
      <c r="C22" s="6" t="n">
        <v>2</v>
      </c>
      <c r="D22" s="6" t="s">
        <v>39</v>
      </c>
      <c r="E22" s="6" t="s">
        <v>47</v>
      </c>
      <c r="F22" s="7" t="n">
        <v>442.79</v>
      </c>
      <c r="G22" s="8" t="n">
        <f aca="false">F22/C22</f>
        <v>221.395</v>
      </c>
      <c r="H22" s="8" t="n">
        <f aca="false">IF(B22=1,F22,0)</f>
        <v>0</v>
      </c>
      <c r="I22" s="8" t="n">
        <f aca="false">IF(B22=C22,F22,0)</f>
        <v>442.79</v>
      </c>
      <c r="J22" s="9" t="n">
        <f aca="false">2^B22</f>
        <v>4</v>
      </c>
      <c r="K22" s="8" t="n">
        <f aca="false">F22*J22/SUMIFS($J$2:$J$108,$A$2:$A$108,A22)</f>
        <v>295.193333333333</v>
      </c>
      <c r="L22" s="10" t="n">
        <f aca="false">IF(C22=1,1,IF(C22=2,0.5,IF(OR(B22=1,B22=C22),0.4,0.2/(C22-2))))</f>
        <v>0.5</v>
      </c>
      <c r="M22" s="8" t="n">
        <f aca="false">F22*L22</f>
        <v>221.395</v>
      </c>
    </row>
    <row r="23" customFormat="false" ht="15" hidden="false" customHeight="false" outlineLevel="0" collapsed="false">
      <c r="A23" s="6" t="s">
        <v>63</v>
      </c>
      <c r="B23" s="6" t="n">
        <v>1</v>
      </c>
      <c r="C23" s="6" t="n">
        <v>2</v>
      </c>
      <c r="D23" s="6" t="s">
        <v>31</v>
      </c>
      <c r="E23" s="6" t="s">
        <v>64</v>
      </c>
      <c r="F23" s="7" t="n">
        <v>211.17</v>
      </c>
      <c r="G23" s="8" t="n">
        <f aca="false">F23/C23</f>
        <v>105.585</v>
      </c>
      <c r="H23" s="8" t="n">
        <f aca="false">IF(B23=1,F23,0)</f>
        <v>211.17</v>
      </c>
      <c r="I23" s="8" t="n">
        <f aca="false">IF(B23=C23,F23,0)</f>
        <v>0</v>
      </c>
      <c r="J23" s="9" t="n">
        <f aca="false">2^B23</f>
        <v>2</v>
      </c>
      <c r="K23" s="8" t="n">
        <f aca="false">F23*J23/SUMIFS($J$2:$J$108,$A$2:$A$108,A23)</f>
        <v>70.39</v>
      </c>
      <c r="L23" s="10" t="n">
        <f aca="false">IF(C23=1,1,IF(C23=2,0.5,IF(OR(B23=1,B23=C23),0.4,0.2/(C23-2))))</f>
        <v>0.5</v>
      </c>
      <c r="M23" s="8" t="n">
        <f aca="false">F23*L23</f>
        <v>105.585</v>
      </c>
    </row>
    <row r="24" customFormat="false" ht="15" hidden="false" customHeight="false" outlineLevel="0" collapsed="false">
      <c r="A24" s="6" t="s">
        <v>63</v>
      </c>
      <c r="B24" s="6" t="n">
        <v>2</v>
      </c>
      <c r="C24" s="6" t="n">
        <v>2</v>
      </c>
      <c r="D24" s="6" t="s">
        <v>41</v>
      </c>
      <c r="E24" s="6" t="s">
        <v>65</v>
      </c>
      <c r="F24" s="7" t="n">
        <v>211.17</v>
      </c>
      <c r="G24" s="8" t="n">
        <f aca="false">F24/C24</f>
        <v>105.585</v>
      </c>
      <c r="H24" s="8" t="n">
        <f aca="false">IF(B24=1,F24,0)</f>
        <v>0</v>
      </c>
      <c r="I24" s="8" t="n">
        <f aca="false">IF(B24=C24,F24,0)</f>
        <v>211.17</v>
      </c>
      <c r="J24" s="9" t="n">
        <f aca="false">2^B24</f>
        <v>4</v>
      </c>
      <c r="K24" s="8" t="n">
        <f aca="false">F24*J24/SUMIFS($J$2:$J$108,$A$2:$A$108,A24)</f>
        <v>140.78</v>
      </c>
      <c r="L24" s="10" t="n">
        <f aca="false">IF(C24=1,1,IF(C24=2,0.5,IF(OR(B24=1,B24=C24),0.4,0.2/(C24-2))))</f>
        <v>0.5</v>
      </c>
      <c r="M24" s="8" t="n">
        <f aca="false">F24*L24</f>
        <v>105.585</v>
      </c>
    </row>
    <row r="25" customFormat="false" ht="15" hidden="false" customHeight="false" outlineLevel="0" collapsed="false">
      <c r="A25" s="6" t="s">
        <v>66</v>
      </c>
      <c r="B25" s="6" t="n">
        <v>1</v>
      </c>
      <c r="C25" s="6" t="n">
        <v>3</v>
      </c>
      <c r="D25" s="6" t="s">
        <v>55</v>
      </c>
      <c r="E25" s="6" t="s">
        <v>67</v>
      </c>
      <c r="F25" s="7" t="n">
        <v>77.98</v>
      </c>
      <c r="G25" s="8" t="n">
        <f aca="false">F25/C25</f>
        <v>25.9933333333333</v>
      </c>
      <c r="H25" s="8" t="n">
        <f aca="false">IF(B25=1,F25,0)</f>
        <v>77.98</v>
      </c>
      <c r="I25" s="8" t="n">
        <f aca="false">IF(B25=C25,F25,0)</f>
        <v>0</v>
      </c>
      <c r="J25" s="9" t="n">
        <f aca="false">2^B25</f>
        <v>2</v>
      </c>
      <c r="K25" s="8" t="n">
        <f aca="false">F25*J25/SUMIFS($J$2:$J$108,$A$2:$A$108,A25)</f>
        <v>11.14</v>
      </c>
      <c r="L25" s="10" t="n">
        <f aca="false">IF(C25=1,1,IF(C25=2,0.5,IF(OR(B25=1,B25=C25),0.4,0.2/(C25-2))))</f>
        <v>0.4</v>
      </c>
      <c r="M25" s="8" t="n">
        <f aca="false">F25*L25</f>
        <v>31.192</v>
      </c>
    </row>
    <row r="26" customFormat="false" ht="15" hidden="false" customHeight="false" outlineLevel="0" collapsed="false">
      <c r="A26" s="6" t="s">
        <v>66</v>
      </c>
      <c r="B26" s="6" t="n">
        <v>2</v>
      </c>
      <c r="C26" s="6" t="n">
        <v>3</v>
      </c>
      <c r="D26" s="6" t="s">
        <v>39</v>
      </c>
      <c r="E26" s="6" t="s">
        <v>68</v>
      </c>
      <c r="F26" s="7" t="n">
        <v>77.98</v>
      </c>
      <c r="G26" s="8" t="n">
        <f aca="false">F26/C26</f>
        <v>25.9933333333333</v>
      </c>
      <c r="H26" s="8" t="n">
        <f aca="false">IF(B26=1,F26,0)</f>
        <v>0</v>
      </c>
      <c r="I26" s="8" t="n">
        <f aca="false">IF(B26=C26,F26,0)</f>
        <v>0</v>
      </c>
      <c r="J26" s="9" t="n">
        <f aca="false">2^B26</f>
        <v>4</v>
      </c>
      <c r="K26" s="8" t="n">
        <f aca="false">F26*J26/SUMIFS($J$2:$J$108,$A$2:$A$108,A26)</f>
        <v>22.28</v>
      </c>
      <c r="L26" s="10" t="n">
        <f aca="false">IF(C26=1,1,IF(C26=2,0.5,IF(OR(B26=1,B26=C26),0.4,0.2/(C26-2))))</f>
        <v>0.2</v>
      </c>
      <c r="M26" s="8" t="n">
        <f aca="false">F26*L26</f>
        <v>15.596</v>
      </c>
    </row>
    <row r="27" customFormat="false" ht="15" hidden="false" customHeight="false" outlineLevel="0" collapsed="false">
      <c r="A27" s="6" t="s">
        <v>66</v>
      </c>
      <c r="B27" s="6" t="n">
        <v>3</v>
      </c>
      <c r="C27" s="6" t="n">
        <v>3</v>
      </c>
      <c r="D27" s="6" t="s">
        <v>31</v>
      </c>
      <c r="E27" s="6" t="s">
        <v>69</v>
      </c>
      <c r="F27" s="7" t="n">
        <v>77.98</v>
      </c>
      <c r="G27" s="8" t="n">
        <f aca="false">F27/C27</f>
        <v>25.9933333333333</v>
      </c>
      <c r="H27" s="8" t="n">
        <f aca="false">IF(B27=1,F27,0)</f>
        <v>0</v>
      </c>
      <c r="I27" s="8" t="n">
        <f aca="false">IF(B27=C27,F27,0)</f>
        <v>77.98</v>
      </c>
      <c r="J27" s="9" t="n">
        <f aca="false">2^B27</f>
        <v>8</v>
      </c>
      <c r="K27" s="8" t="n">
        <f aca="false">F27*J27/SUMIFS($J$2:$J$108,$A$2:$A$108,A27)</f>
        <v>44.56</v>
      </c>
      <c r="L27" s="10" t="n">
        <f aca="false">IF(C27=1,1,IF(C27=2,0.5,IF(OR(B27=1,B27=C27),0.4,0.2/(C27-2))))</f>
        <v>0.4</v>
      </c>
      <c r="M27" s="8" t="n">
        <f aca="false">F27*L27</f>
        <v>31.192</v>
      </c>
    </row>
    <row r="28" customFormat="false" ht="15" hidden="false" customHeight="false" outlineLevel="0" collapsed="false">
      <c r="A28" s="6" t="s">
        <v>70</v>
      </c>
      <c r="B28" s="6" t="n">
        <v>1</v>
      </c>
      <c r="C28" s="6" t="n">
        <v>2</v>
      </c>
      <c r="D28" s="6" t="s">
        <v>46</v>
      </c>
      <c r="E28" s="6" t="s">
        <v>71</v>
      </c>
      <c r="F28" s="7" t="n">
        <v>236.22</v>
      </c>
      <c r="G28" s="8" t="n">
        <f aca="false">F28/C28</f>
        <v>118.11</v>
      </c>
      <c r="H28" s="8" t="n">
        <f aca="false">IF(B28=1,F28,0)</f>
        <v>236.22</v>
      </c>
      <c r="I28" s="8" t="n">
        <f aca="false">IF(B28=C28,F28,0)</f>
        <v>0</v>
      </c>
      <c r="J28" s="9" t="n">
        <f aca="false">2^B28</f>
        <v>2</v>
      </c>
      <c r="K28" s="8" t="n">
        <f aca="false">F28*J28/SUMIFS($J$2:$J$108,$A$2:$A$108,A28)</f>
        <v>78.74</v>
      </c>
      <c r="L28" s="10" t="n">
        <f aca="false">IF(C28=1,1,IF(C28=2,0.5,IF(OR(B28=1,B28=C28),0.4,0.2/(C28-2))))</f>
        <v>0.5</v>
      </c>
      <c r="M28" s="8" t="n">
        <f aca="false">F28*L28</f>
        <v>118.11</v>
      </c>
    </row>
    <row r="29" customFormat="false" ht="15" hidden="false" customHeight="false" outlineLevel="0" collapsed="false">
      <c r="A29" s="6" t="s">
        <v>70</v>
      </c>
      <c r="B29" s="6" t="n">
        <v>2</v>
      </c>
      <c r="C29" s="6" t="n">
        <v>2</v>
      </c>
      <c r="D29" s="6" t="s">
        <v>55</v>
      </c>
      <c r="E29" s="6" t="s">
        <v>72</v>
      </c>
      <c r="F29" s="7" t="n">
        <v>236.22</v>
      </c>
      <c r="G29" s="8" t="n">
        <f aca="false">F29/C29</f>
        <v>118.11</v>
      </c>
      <c r="H29" s="8" t="n">
        <f aca="false">IF(B29=1,F29,0)</f>
        <v>0</v>
      </c>
      <c r="I29" s="8" t="n">
        <f aca="false">IF(B29=C29,F29,0)</f>
        <v>236.22</v>
      </c>
      <c r="J29" s="9" t="n">
        <f aca="false">2^B29</f>
        <v>4</v>
      </c>
      <c r="K29" s="8" t="n">
        <f aca="false">F29*J29/SUMIFS($J$2:$J$108,$A$2:$A$108,A29)</f>
        <v>157.48</v>
      </c>
      <c r="L29" s="10" t="n">
        <f aca="false">IF(C29=1,1,IF(C29=2,0.5,IF(OR(B29=1,B29=C29),0.4,0.2/(C29-2))))</f>
        <v>0.5</v>
      </c>
      <c r="M29" s="8" t="n">
        <f aca="false">F29*L29</f>
        <v>118.11</v>
      </c>
    </row>
    <row r="30" customFormat="false" ht="15" hidden="false" customHeight="false" outlineLevel="0" collapsed="false">
      <c r="A30" s="6" t="s">
        <v>73</v>
      </c>
      <c r="B30" s="6" t="n">
        <v>1</v>
      </c>
      <c r="C30" s="6" t="n">
        <v>4</v>
      </c>
      <c r="D30" s="6" t="s">
        <v>53</v>
      </c>
      <c r="E30" s="6" t="s">
        <v>74</v>
      </c>
      <c r="F30" s="7" t="n">
        <v>361.83</v>
      </c>
      <c r="G30" s="8" t="n">
        <f aca="false">F30/C30</f>
        <v>90.4575</v>
      </c>
      <c r="H30" s="8" t="n">
        <f aca="false">IF(B30=1,F30,0)</f>
        <v>361.83</v>
      </c>
      <c r="I30" s="8" t="n">
        <f aca="false">IF(B30=C30,F30,0)</f>
        <v>0</v>
      </c>
      <c r="J30" s="9" t="n">
        <f aca="false">2^B30</f>
        <v>2</v>
      </c>
      <c r="K30" s="8" t="n">
        <f aca="false">F30*J30/SUMIFS($J$2:$J$108,$A$2:$A$108,A30)</f>
        <v>24.122</v>
      </c>
      <c r="L30" s="10" t="n">
        <f aca="false">IF(C30=1,1,IF(C30=2,0.5,IF(OR(B30=1,B30=C30),0.4,0.2/(C30-2))))</f>
        <v>0.4</v>
      </c>
      <c r="M30" s="8" t="n">
        <f aca="false">F30*L30</f>
        <v>144.732</v>
      </c>
    </row>
    <row r="31" customFormat="false" ht="15" hidden="false" customHeight="false" outlineLevel="0" collapsed="false">
      <c r="A31" s="6" t="s">
        <v>73</v>
      </c>
      <c r="B31" s="6" t="n">
        <v>2</v>
      </c>
      <c r="C31" s="6" t="n">
        <v>4</v>
      </c>
      <c r="D31" s="6" t="s">
        <v>31</v>
      </c>
      <c r="E31" s="6" t="s">
        <v>75</v>
      </c>
      <c r="F31" s="7" t="n">
        <v>361.83</v>
      </c>
      <c r="G31" s="8" t="n">
        <f aca="false">F31/C31</f>
        <v>90.4575</v>
      </c>
      <c r="H31" s="8" t="n">
        <f aca="false">IF(B31=1,F31,0)</f>
        <v>0</v>
      </c>
      <c r="I31" s="8" t="n">
        <f aca="false">IF(B31=C31,F31,0)</f>
        <v>0</v>
      </c>
      <c r="J31" s="9" t="n">
        <f aca="false">2^B31</f>
        <v>4</v>
      </c>
      <c r="K31" s="8" t="n">
        <f aca="false">F31*J31/SUMIFS($J$2:$J$108,$A$2:$A$108,A31)</f>
        <v>48.244</v>
      </c>
      <c r="L31" s="10" t="n">
        <f aca="false">IF(C31=1,1,IF(C31=2,0.5,IF(OR(B31=1,B31=C31),0.4,0.2/(C31-2))))</f>
        <v>0.1</v>
      </c>
      <c r="M31" s="8" t="n">
        <f aca="false">F31*L31</f>
        <v>36.183</v>
      </c>
    </row>
    <row r="32" customFormat="false" ht="15" hidden="false" customHeight="false" outlineLevel="0" collapsed="false">
      <c r="A32" s="6" t="s">
        <v>73</v>
      </c>
      <c r="B32" s="6" t="n">
        <v>3</v>
      </c>
      <c r="C32" s="6" t="n">
        <v>4</v>
      </c>
      <c r="D32" s="6" t="s">
        <v>31</v>
      </c>
      <c r="E32" s="6" t="s">
        <v>42</v>
      </c>
      <c r="F32" s="7" t="n">
        <v>361.83</v>
      </c>
      <c r="G32" s="8" t="n">
        <f aca="false">F32/C32</f>
        <v>90.4575</v>
      </c>
      <c r="H32" s="8" t="n">
        <f aca="false">IF(B32=1,F32,0)</f>
        <v>0</v>
      </c>
      <c r="I32" s="8" t="n">
        <f aca="false">IF(B32=C32,F32,0)</f>
        <v>0</v>
      </c>
      <c r="J32" s="9" t="n">
        <f aca="false">2^B32</f>
        <v>8</v>
      </c>
      <c r="K32" s="8" t="n">
        <f aca="false">F32*J32/SUMIFS($J$2:$J$108,$A$2:$A$108,A32)</f>
        <v>96.488</v>
      </c>
      <c r="L32" s="10" t="n">
        <f aca="false">IF(C32=1,1,IF(C32=2,0.5,IF(OR(B32=1,B32=C32),0.4,0.2/(C32-2))))</f>
        <v>0.1</v>
      </c>
      <c r="M32" s="8" t="n">
        <f aca="false">F32*L32</f>
        <v>36.183</v>
      </c>
    </row>
    <row r="33" customFormat="false" ht="15" hidden="false" customHeight="false" outlineLevel="0" collapsed="false">
      <c r="A33" s="6" t="s">
        <v>73</v>
      </c>
      <c r="B33" s="6" t="n">
        <v>4</v>
      </c>
      <c r="C33" s="6" t="n">
        <v>4</v>
      </c>
      <c r="D33" s="6" t="s">
        <v>39</v>
      </c>
      <c r="E33" s="6" t="s">
        <v>64</v>
      </c>
      <c r="F33" s="7" t="n">
        <v>361.83</v>
      </c>
      <c r="G33" s="8" t="n">
        <f aca="false">F33/C33</f>
        <v>90.4575</v>
      </c>
      <c r="H33" s="8" t="n">
        <f aca="false">IF(B33=1,F33,0)</f>
        <v>0</v>
      </c>
      <c r="I33" s="8" t="n">
        <f aca="false">IF(B33=C33,F33,0)</f>
        <v>361.83</v>
      </c>
      <c r="J33" s="9" t="n">
        <f aca="false">2^B33</f>
        <v>16</v>
      </c>
      <c r="K33" s="8" t="n">
        <f aca="false">F33*J33/SUMIFS($J$2:$J$108,$A$2:$A$108,A33)</f>
        <v>192.976</v>
      </c>
      <c r="L33" s="10" t="n">
        <f aca="false">IF(C33=1,1,IF(C33=2,0.5,IF(OR(B33=1,B33=C33),0.4,0.2/(C33-2))))</f>
        <v>0.4</v>
      </c>
      <c r="M33" s="8" t="n">
        <f aca="false">F33*L33</f>
        <v>144.732</v>
      </c>
    </row>
    <row r="34" customFormat="false" ht="15" hidden="false" customHeight="false" outlineLevel="0" collapsed="false">
      <c r="A34" s="6" t="s">
        <v>76</v>
      </c>
      <c r="B34" s="6" t="n">
        <v>1</v>
      </c>
      <c r="C34" s="6" t="n">
        <v>2</v>
      </c>
      <c r="D34" s="6" t="s">
        <v>46</v>
      </c>
      <c r="E34" s="6" t="s">
        <v>77</v>
      </c>
      <c r="F34" s="7" t="n">
        <v>336.37</v>
      </c>
      <c r="G34" s="8" t="n">
        <f aca="false">F34/C34</f>
        <v>168.185</v>
      </c>
      <c r="H34" s="8" t="n">
        <f aca="false">IF(B34=1,F34,0)</f>
        <v>336.37</v>
      </c>
      <c r="I34" s="8" t="n">
        <f aca="false">IF(B34=C34,F34,0)</f>
        <v>0</v>
      </c>
      <c r="J34" s="9" t="n">
        <f aca="false">2^B34</f>
        <v>2</v>
      </c>
      <c r="K34" s="8" t="n">
        <f aca="false">F34*J34/SUMIFS($J$2:$J$108,$A$2:$A$108,A34)</f>
        <v>112.123333333333</v>
      </c>
      <c r="L34" s="10" t="n">
        <f aca="false">IF(C34=1,1,IF(C34=2,0.5,IF(OR(B34=1,B34=C34),0.4,0.2/(C34-2))))</f>
        <v>0.5</v>
      </c>
      <c r="M34" s="8" t="n">
        <f aca="false">F34*L34</f>
        <v>168.185</v>
      </c>
    </row>
    <row r="35" customFormat="false" ht="15" hidden="false" customHeight="false" outlineLevel="0" collapsed="false">
      <c r="A35" s="6" t="s">
        <v>76</v>
      </c>
      <c r="B35" s="6" t="n">
        <v>2</v>
      </c>
      <c r="C35" s="6" t="n">
        <v>2</v>
      </c>
      <c r="D35" s="6" t="s">
        <v>31</v>
      </c>
      <c r="E35" s="6" t="s">
        <v>78</v>
      </c>
      <c r="F35" s="7" t="n">
        <v>336.37</v>
      </c>
      <c r="G35" s="8" t="n">
        <f aca="false">F35/C35</f>
        <v>168.185</v>
      </c>
      <c r="H35" s="8" t="n">
        <f aca="false">IF(B35=1,F35,0)</f>
        <v>0</v>
      </c>
      <c r="I35" s="8" t="n">
        <f aca="false">IF(B35=C35,F35,0)</f>
        <v>336.37</v>
      </c>
      <c r="J35" s="9" t="n">
        <f aca="false">2^B35</f>
        <v>4</v>
      </c>
      <c r="K35" s="8" t="n">
        <f aca="false">F35*J35/SUMIFS($J$2:$J$108,$A$2:$A$108,A35)</f>
        <v>224.246666666667</v>
      </c>
      <c r="L35" s="10" t="n">
        <f aca="false">IF(C35=1,1,IF(C35=2,0.5,IF(OR(B35=1,B35=C35),0.4,0.2/(C35-2))))</f>
        <v>0.5</v>
      </c>
      <c r="M35" s="8" t="n">
        <f aca="false">F35*L35</f>
        <v>168.185</v>
      </c>
    </row>
    <row r="36" customFormat="false" ht="15" hidden="false" customHeight="false" outlineLevel="0" collapsed="false">
      <c r="A36" s="6" t="s">
        <v>79</v>
      </c>
      <c r="B36" s="6" t="n">
        <v>1</v>
      </c>
      <c r="C36" s="6" t="n">
        <v>1</v>
      </c>
      <c r="D36" s="6" t="s">
        <v>31</v>
      </c>
      <c r="E36" s="6" t="s">
        <v>56</v>
      </c>
      <c r="F36" s="7" t="n">
        <v>441.07</v>
      </c>
      <c r="G36" s="8" t="n">
        <f aca="false">F36/C36</f>
        <v>441.07</v>
      </c>
      <c r="H36" s="8" t="n">
        <f aca="false">IF(B36=1,F36,0)</f>
        <v>441.07</v>
      </c>
      <c r="I36" s="8" t="n">
        <f aca="false">IF(B36=C36,F36,0)</f>
        <v>441.07</v>
      </c>
      <c r="J36" s="9" t="n">
        <f aca="false">2^B36</f>
        <v>2</v>
      </c>
      <c r="K36" s="8" t="n">
        <f aca="false">F36*J36/SUMIFS($J$2:$J$108,$A$2:$A$108,A36)</f>
        <v>441.07</v>
      </c>
      <c r="L36" s="10" t="n">
        <f aca="false">IF(C36=1,1,IF(C36=2,0.5,IF(OR(B36=1,B36=C36),0.4,0.2/(C36-2))))</f>
        <v>1</v>
      </c>
      <c r="M36" s="8" t="n">
        <f aca="false">F36*L36</f>
        <v>441.07</v>
      </c>
    </row>
    <row r="37" customFormat="false" ht="15" hidden="false" customHeight="false" outlineLevel="0" collapsed="false">
      <c r="A37" s="6" t="s">
        <v>80</v>
      </c>
      <c r="B37" s="6" t="n">
        <v>1</v>
      </c>
      <c r="C37" s="6" t="n">
        <v>2</v>
      </c>
      <c r="D37" s="6" t="s">
        <v>53</v>
      </c>
      <c r="E37" s="6" t="s">
        <v>60</v>
      </c>
      <c r="F37" s="7" t="n">
        <v>200.79</v>
      </c>
      <c r="G37" s="8" t="n">
        <f aca="false">F37/C37</f>
        <v>100.395</v>
      </c>
      <c r="H37" s="8" t="n">
        <f aca="false">IF(B37=1,F37,0)</f>
        <v>200.79</v>
      </c>
      <c r="I37" s="8" t="n">
        <f aca="false">IF(B37=C37,F37,0)</f>
        <v>0</v>
      </c>
      <c r="J37" s="9" t="n">
        <f aca="false">2^B37</f>
        <v>2</v>
      </c>
      <c r="K37" s="8" t="n">
        <f aca="false">F37*J37/SUMIFS($J$2:$J$108,$A$2:$A$108,A37)</f>
        <v>66.93</v>
      </c>
      <c r="L37" s="10" t="n">
        <f aca="false">IF(C37=1,1,IF(C37=2,0.5,IF(OR(B37=1,B37=C37),0.4,0.2/(C37-2))))</f>
        <v>0.5</v>
      </c>
      <c r="M37" s="8" t="n">
        <f aca="false">F37*L37</f>
        <v>100.395</v>
      </c>
    </row>
    <row r="38" customFormat="false" ht="15" hidden="false" customHeight="false" outlineLevel="0" collapsed="false">
      <c r="A38" s="6" t="s">
        <v>80</v>
      </c>
      <c r="B38" s="6" t="n">
        <v>2</v>
      </c>
      <c r="C38" s="6" t="n">
        <v>2</v>
      </c>
      <c r="D38" s="6" t="s">
        <v>41</v>
      </c>
      <c r="E38" s="6" t="s">
        <v>52</v>
      </c>
      <c r="F38" s="7" t="n">
        <v>200.79</v>
      </c>
      <c r="G38" s="8" t="n">
        <f aca="false">F38/C38</f>
        <v>100.395</v>
      </c>
      <c r="H38" s="8" t="n">
        <f aca="false">IF(B38=1,F38,0)</f>
        <v>0</v>
      </c>
      <c r="I38" s="8" t="n">
        <f aca="false">IF(B38=C38,F38,0)</f>
        <v>200.79</v>
      </c>
      <c r="J38" s="9" t="n">
        <f aca="false">2^B38</f>
        <v>4</v>
      </c>
      <c r="K38" s="8" t="n">
        <f aca="false">F38*J38/SUMIFS($J$2:$J$108,$A$2:$A$108,A38)</f>
        <v>133.86</v>
      </c>
      <c r="L38" s="10" t="n">
        <f aca="false">IF(C38=1,1,IF(C38=2,0.5,IF(OR(B38=1,B38=C38),0.4,0.2/(C38-2))))</f>
        <v>0.5</v>
      </c>
      <c r="M38" s="8" t="n">
        <f aca="false">F38*L38</f>
        <v>100.395</v>
      </c>
    </row>
    <row r="39" customFormat="false" ht="15" hidden="false" customHeight="false" outlineLevel="0" collapsed="false">
      <c r="A39" s="6" t="s">
        <v>81</v>
      </c>
      <c r="B39" s="6" t="n">
        <v>1</v>
      </c>
      <c r="C39" s="6" t="n">
        <v>3</v>
      </c>
      <c r="D39" s="6" t="s">
        <v>53</v>
      </c>
      <c r="E39" s="6" t="s">
        <v>82</v>
      </c>
      <c r="F39" s="7" t="n">
        <v>122.47</v>
      </c>
      <c r="G39" s="8" t="n">
        <f aca="false">F39/C39</f>
        <v>40.8233333333333</v>
      </c>
      <c r="H39" s="8" t="n">
        <f aca="false">IF(B39=1,F39,0)</f>
        <v>122.47</v>
      </c>
      <c r="I39" s="8" t="n">
        <f aca="false">IF(B39=C39,F39,0)</f>
        <v>0</v>
      </c>
      <c r="J39" s="9" t="n">
        <f aca="false">2^B39</f>
        <v>2</v>
      </c>
      <c r="K39" s="8" t="n">
        <f aca="false">F39*J39/SUMIFS($J$2:$J$108,$A$2:$A$108,A39)</f>
        <v>17.4957142857143</v>
      </c>
      <c r="L39" s="10" t="n">
        <f aca="false">IF(C39=1,1,IF(C39=2,0.5,IF(OR(B39=1,B39=C39),0.4,0.2/(C39-2))))</f>
        <v>0.4</v>
      </c>
      <c r="M39" s="8" t="n">
        <f aca="false">F39*L39</f>
        <v>48.988</v>
      </c>
    </row>
    <row r="40" customFormat="false" ht="15" hidden="false" customHeight="false" outlineLevel="0" collapsed="false">
      <c r="A40" s="6" t="s">
        <v>81</v>
      </c>
      <c r="B40" s="6" t="n">
        <v>2</v>
      </c>
      <c r="C40" s="6" t="n">
        <v>3</v>
      </c>
      <c r="D40" s="6" t="s">
        <v>31</v>
      </c>
      <c r="E40" s="6" t="s">
        <v>59</v>
      </c>
      <c r="F40" s="7" t="n">
        <v>122.47</v>
      </c>
      <c r="G40" s="8" t="n">
        <f aca="false">F40/C40</f>
        <v>40.8233333333333</v>
      </c>
      <c r="H40" s="8" t="n">
        <f aca="false">IF(B40=1,F40,0)</f>
        <v>0</v>
      </c>
      <c r="I40" s="8" t="n">
        <f aca="false">IF(B40=C40,F40,0)</f>
        <v>0</v>
      </c>
      <c r="J40" s="9" t="n">
        <f aca="false">2^B40</f>
        <v>4</v>
      </c>
      <c r="K40" s="8" t="n">
        <f aca="false">F40*J40/SUMIFS($J$2:$J$108,$A$2:$A$108,A40)</f>
        <v>34.9914285714286</v>
      </c>
      <c r="L40" s="10" t="n">
        <f aca="false">IF(C40=1,1,IF(C40=2,0.5,IF(OR(B40=1,B40=C40),0.4,0.2/(C40-2))))</f>
        <v>0.2</v>
      </c>
      <c r="M40" s="8" t="n">
        <f aca="false">F40*L40</f>
        <v>24.494</v>
      </c>
    </row>
    <row r="41" customFormat="false" ht="15" hidden="false" customHeight="false" outlineLevel="0" collapsed="false">
      <c r="A41" s="6" t="s">
        <v>81</v>
      </c>
      <c r="B41" s="6" t="n">
        <v>3</v>
      </c>
      <c r="C41" s="6" t="n">
        <v>3</v>
      </c>
      <c r="D41" s="6" t="s">
        <v>53</v>
      </c>
      <c r="E41" s="6" t="s">
        <v>49</v>
      </c>
      <c r="F41" s="7" t="n">
        <v>122.47</v>
      </c>
      <c r="G41" s="8" t="n">
        <f aca="false">F41/C41</f>
        <v>40.8233333333333</v>
      </c>
      <c r="H41" s="8" t="n">
        <f aca="false">IF(B41=1,F41,0)</f>
        <v>0</v>
      </c>
      <c r="I41" s="8" t="n">
        <f aca="false">IF(B41=C41,F41,0)</f>
        <v>122.47</v>
      </c>
      <c r="J41" s="9" t="n">
        <f aca="false">2^B41</f>
        <v>8</v>
      </c>
      <c r="K41" s="8" t="n">
        <f aca="false">F41*J41/SUMIFS($J$2:$J$108,$A$2:$A$108,A41)</f>
        <v>69.9828571428571</v>
      </c>
      <c r="L41" s="10" t="n">
        <f aca="false">IF(C41=1,1,IF(C41=2,0.5,IF(OR(B41=1,B41=C41),0.4,0.2/(C41-2))))</f>
        <v>0.4</v>
      </c>
      <c r="M41" s="8" t="n">
        <f aca="false">F41*L41</f>
        <v>48.988</v>
      </c>
    </row>
    <row r="42" customFormat="false" ht="15" hidden="false" customHeight="false" outlineLevel="0" collapsed="false">
      <c r="A42" s="6" t="s">
        <v>83</v>
      </c>
      <c r="B42" s="6" t="n">
        <v>1</v>
      </c>
      <c r="C42" s="6" t="n">
        <v>4</v>
      </c>
      <c r="D42" s="6" t="s">
        <v>55</v>
      </c>
      <c r="E42" s="6" t="s">
        <v>40</v>
      </c>
      <c r="F42" s="7" t="n">
        <v>571.07</v>
      </c>
      <c r="G42" s="8" t="n">
        <f aca="false">F42/C42</f>
        <v>142.7675</v>
      </c>
      <c r="H42" s="8" t="n">
        <f aca="false">IF(B42=1,F42,0)</f>
        <v>571.07</v>
      </c>
      <c r="I42" s="8" t="n">
        <f aca="false">IF(B42=C42,F42,0)</f>
        <v>0</v>
      </c>
      <c r="J42" s="9" t="n">
        <f aca="false">2^B42</f>
        <v>2</v>
      </c>
      <c r="K42" s="8" t="n">
        <f aca="false">F42*J42/SUMIFS($J$2:$J$108,$A$2:$A$108,A42)</f>
        <v>38.0713333333333</v>
      </c>
      <c r="L42" s="10" t="n">
        <f aca="false">IF(C42=1,1,IF(C42=2,0.5,IF(OR(B42=1,B42=C42),0.4,0.2/(C42-2))))</f>
        <v>0.4</v>
      </c>
      <c r="M42" s="8" t="n">
        <f aca="false">F42*L42</f>
        <v>228.428</v>
      </c>
    </row>
    <row r="43" customFormat="false" ht="15" hidden="false" customHeight="false" outlineLevel="0" collapsed="false">
      <c r="A43" s="6" t="s">
        <v>83</v>
      </c>
      <c r="B43" s="6" t="n">
        <v>2</v>
      </c>
      <c r="C43" s="6" t="n">
        <v>4</v>
      </c>
      <c r="D43" s="6" t="s">
        <v>31</v>
      </c>
      <c r="E43" s="6" t="s">
        <v>84</v>
      </c>
      <c r="F43" s="7" t="n">
        <v>571.07</v>
      </c>
      <c r="G43" s="8" t="n">
        <f aca="false">F43/C43</f>
        <v>142.7675</v>
      </c>
      <c r="H43" s="8" t="n">
        <f aca="false">IF(B43=1,F43,0)</f>
        <v>0</v>
      </c>
      <c r="I43" s="8" t="n">
        <f aca="false">IF(B43=C43,F43,0)</f>
        <v>0</v>
      </c>
      <c r="J43" s="9" t="n">
        <f aca="false">2^B43</f>
        <v>4</v>
      </c>
      <c r="K43" s="8" t="n">
        <f aca="false">F43*J43/SUMIFS($J$2:$J$108,$A$2:$A$108,A43)</f>
        <v>76.1426666666667</v>
      </c>
      <c r="L43" s="10" t="n">
        <f aca="false">IF(C43=1,1,IF(C43=2,0.5,IF(OR(B43=1,B43=C43),0.4,0.2/(C43-2))))</f>
        <v>0.1</v>
      </c>
      <c r="M43" s="8" t="n">
        <f aca="false">F43*L43</f>
        <v>57.107</v>
      </c>
    </row>
    <row r="44" customFormat="false" ht="15" hidden="false" customHeight="false" outlineLevel="0" collapsed="false">
      <c r="A44" s="6" t="s">
        <v>83</v>
      </c>
      <c r="B44" s="6" t="n">
        <v>3</v>
      </c>
      <c r="C44" s="6" t="n">
        <v>4</v>
      </c>
      <c r="D44" s="6" t="s">
        <v>41</v>
      </c>
      <c r="E44" s="6" t="s">
        <v>85</v>
      </c>
      <c r="F44" s="7" t="n">
        <v>571.07</v>
      </c>
      <c r="G44" s="8" t="n">
        <f aca="false">F44/C44</f>
        <v>142.7675</v>
      </c>
      <c r="H44" s="8" t="n">
        <f aca="false">IF(B44=1,F44,0)</f>
        <v>0</v>
      </c>
      <c r="I44" s="8" t="n">
        <f aca="false">IF(B44=C44,F44,0)</f>
        <v>0</v>
      </c>
      <c r="J44" s="9" t="n">
        <f aca="false">2^B44</f>
        <v>8</v>
      </c>
      <c r="K44" s="8" t="n">
        <f aca="false">F44*J44/SUMIFS($J$2:$J$108,$A$2:$A$108,A44)</f>
        <v>152.285333333333</v>
      </c>
      <c r="L44" s="10" t="n">
        <f aca="false">IF(C44=1,1,IF(C44=2,0.5,IF(OR(B44=1,B44=C44),0.4,0.2/(C44-2))))</f>
        <v>0.1</v>
      </c>
      <c r="M44" s="8" t="n">
        <f aca="false">F44*L44</f>
        <v>57.107</v>
      </c>
    </row>
    <row r="45" customFormat="false" ht="15" hidden="false" customHeight="false" outlineLevel="0" collapsed="false">
      <c r="A45" s="6" t="s">
        <v>83</v>
      </c>
      <c r="B45" s="6" t="n">
        <v>4</v>
      </c>
      <c r="C45" s="6" t="n">
        <v>4</v>
      </c>
      <c r="D45" s="6" t="s">
        <v>31</v>
      </c>
      <c r="E45" s="6" t="s">
        <v>65</v>
      </c>
      <c r="F45" s="7" t="n">
        <v>571.07</v>
      </c>
      <c r="G45" s="8" t="n">
        <f aca="false">F45/C45</f>
        <v>142.7675</v>
      </c>
      <c r="H45" s="8" t="n">
        <f aca="false">IF(B45=1,F45,0)</f>
        <v>0</v>
      </c>
      <c r="I45" s="8" t="n">
        <f aca="false">IF(B45=C45,F45,0)</f>
        <v>571.07</v>
      </c>
      <c r="J45" s="9" t="n">
        <f aca="false">2^B45</f>
        <v>16</v>
      </c>
      <c r="K45" s="8" t="n">
        <f aca="false">F45*J45/SUMIFS($J$2:$J$108,$A$2:$A$108,A45)</f>
        <v>304.570666666667</v>
      </c>
      <c r="L45" s="10" t="n">
        <f aca="false">IF(C45=1,1,IF(C45=2,0.5,IF(OR(B45=1,B45=C45),0.4,0.2/(C45-2))))</f>
        <v>0.4</v>
      </c>
      <c r="M45" s="8" t="n">
        <f aca="false">F45*L45</f>
        <v>228.428</v>
      </c>
    </row>
    <row r="46" customFormat="false" ht="15" hidden="false" customHeight="false" outlineLevel="0" collapsed="false">
      <c r="A46" s="6" t="s">
        <v>86</v>
      </c>
      <c r="B46" s="6" t="n">
        <v>1</v>
      </c>
      <c r="C46" s="6" t="n">
        <v>1</v>
      </c>
      <c r="D46" s="6" t="s">
        <v>39</v>
      </c>
      <c r="E46" s="6" t="s">
        <v>78</v>
      </c>
      <c r="F46" s="7" t="n">
        <v>362.05</v>
      </c>
      <c r="G46" s="8" t="n">
        <f aca="false">F46/C46</f>
        <v>362.05</v>
      </c>
      <c r="H46" s="8" t="n">
        <f aca="false">IF(B46=1,F46,0)</f>
        <v>362.05</v>
      </c>
      <c r="I46" s="8" t="n">
        <f aca="false">IF(B46=C46,F46,0)</f>
        <v>362.05</v>
      </c>
      <c r="J46" s="9" t="n">
        <f aca="false">2^B46</f>
        <v>2</v>
      </c>
      <c r="K46" s="8" t="n">
        <f aca="false">F46*J46/SUMIFS($J$2:$J$108,$A$2:$A$108,A46)</f>
        <v>362.05</v>
      </c>
      <c r="L46" s="10" t="n">
        <f aca="false">IF(C46=1,1,IF(C46=2,0.5,IF(OR(B46=1,B46=C46),0.4,0.2/(C46-2))))</f>
        <v>1</v>
      </c>
      <c r="M46" s="8" t="n">
        <f aca="false">F46*L46</f>
        <v>362.05</v>
      </c>
    </row>
    <row r="47" customFormat="false" ht="15" hidden="false" customHeight="false" outlineLevel="0" collapsed="false">
      <c r="A47" s="6" t="s">
        <v>87</v>
      </c>
      <c r="B47" s="6" t="n">
        <v>1</v>
      </c>
      <c r="C47" s="6" t="n">
        <v>4</v>
      </c>
      <c r="D47" s="6" t="s">
        <v>53</v>
      </c>
      <c r="E47" s="6" t="s">
        <v>75</v>
      </c>
      <c r="F47" s="7" t="n">
        <v>611.78</v>
      </c>
      <c r="G47" s="8" t="n">
        <f aca="false">F47/C47</f>
        <v>152.945</v>
      </c>
      <c r="H47" s="8" t="n">
        <f aca="false">IF(B47=1,F47,0)</f>
        <v>611.78</v>
      </c>
      <c r="I47" s="8" t="n">
        <f aca="false">IF(B47=C47,F47,0)</f>
        <v>0</v>
      </c>
      <c r="J47" s="9" t="n">
        <f aca="false">2^B47</f>
        <v>2</v>
      </c>
      <c r="K47" s="8" t="n">
        <f aca="false">F47*J47/SUMIFS($J$2:$J$108,$A$2:$A$108,A47)</f>
        <v>40.7853333333333</v>
      </c>
      <c r="L47" s="10" t="n">
        <f aca="false">IF(C47=1,1,IF(C47=2,0.5,IF(OR(B47=1,B47=C47),0.4,0.2/(C47-2))))</f>
        <v>0.4</v>
      </c>
      <c r="M47" s="8" t="n">
        <f aca="false">F47*L47</f>
        <v>244.712</v>
      </c>
    </row>
    <row r="48" customFormat="false" ht="15" hidden="false" customHeight="false" outlineLevel="0" collapsed="false">
      <c r="A48" s="6" t="s">
        <v>87</v>
      </c>
      <c r="B48" s="6" t="n">
        <v>2</v>
      </c>
      <c r="C48" s="6" t="n">
        <v>4</v>
      </c>
      <c r="D48" s="6" t="s">
        <v>41</v>
      </c>
      <c r="E48" s="6" t="s">
        <v>34</v>
      </c>
      <c r="F48" s="7" t="n">
        <v>611.78</v>
      </c>
      <c r="G48" s="8" t="n">
        <f aca="false">F48/C48</f>
        <v>152.945</v>
      </c>
      <c r="H48" s="8" t="n">
        <f aca="false">IF(B48=1,F48,0)</f>
        <v>0</v>
      </c>
      <c r="I48" s="8" t="n">
        <f aca="false">IF(B48=C48,F48,0)</f>
        <v>0</v>
      </c>
      <c r="J48" s="9" t="n">
        <f aca="false">2^B48</f>
        <v>4</v>
      </c>
      <c r="K48" s="8" t="n">
        <f aca="false">F48*J48/SUMIFS($J$2:$J$108,$A$2:$A$108,A48)</f>
        <v>81.5706666666667</v>
      </c>
      <c r="L48" s="10" t="n">
        <f aca="false">IF(C48=1,1,IF(C48=2,0.5,IF(OR(B48=1,B48=C48),0.4,0.2/(C48-2))))</f>
        <v>0.1</v>
      </c>
      <c r="M48" s="8" t="n">
        <f aca="false">F48*L48</f>
        <v>61.178</v>
      </c>
    </row>
    <row r="49" customFormat="false" ht="15" hidden="false" customHeight="false" outlineLevel="0" collapsed="false">
      <c r="A49" s="6" t="s">
        <v>87</v>
      </c>
      <c r="B49" s="6" t="n">
        <v>3</v>
      </c>
      <c r="C49" s="6" t="n">
        <v>4</v>
      </c>
      <c r="D49" s="6" t="s">
        <v>31</v>
      </c>
      <c r="E49" s="6" t="s">
        <v>34</v>
      </c>
      <c r="F49" s="7" t="n">
        <v>611.78</v>
      </c>
      <c r="G49" s="8" t="n">
        <f aca="false">F49/C49</f>
        <v>152.945</v>
      </c>
      <c r="H49" s="8" t="n">
        <f aca="false">IF(B49=1,F49,0)</f>
        <v>0</v>
      </c>
      <c r="I49" s="8" t="n">
        <f aca="false">IF(B49=C49,F49,0)</f>
        <v>0</v>
      </c>
      <c r="J49" s="9" t="n">
        <f aca="false">2^B49</f>
        <v>8</v>
      </c>
      <c r="K49" s="8" t="n">
        <f aca="false">F49*J49/SUMIFS($J$2:$J$108,$A$2:$A$108,A49)</f>
        <v>163.141333333333</v>
      </c>
      <c r="L49" s="10" t="n">
        <f aca="false">IF(C49=1,1,IF(C49=2,0.5,IF(OR(B49=1,B49=C49),0.4,0.2/(C49-2))))</f>
        <v>0.1</v>
      </c>
      <c r="M49" s="8" t="n">
        <f aca="false">F49*L49</f>
        <v>61.178</v>
      </c>
    </row>
    <row r="50" customFormat="false" ht="15" hidden="false" customHeight="false" outlineLevel="0" collapsed="false">
      <c r="A50" s="6" t="s">
        <v>87</v>
      </c>
      <c r="B50" s="6" t="n">
        <v>4</v>
      </c>
      <c r="C50" s="6" t="n">
        <v>4</v>
      </c>
      <c r="D50" s="6" t="s">
        <v>41</v>
      </c>
      <c r="E50" s="6" t="s">
        <v>42</v>
      </c>
      <c r="F50" s="7" t="n">
        <v>611.78</v>
      </c>
      <c r="G50" s="8" t="n">
        <f aca="false">F50/C50</f>
        <v>152.945</v>
      </c>
      <c r="H50" s="8" t="n">
        <f aca="false">IF(B50=1,F50,0)</f>
        <v>0</v>
      </c>
      <c r="I50" s="8" t="n">
        <f aca="false">IF(B50=C50,F50,0)</f>
        <v>611.78</v>
      </c>
      <c r="J50" s="9" t="n">
        <f aca="false">2^B50</f>
        <v>16</v>
      </c>
      <c r="K50" s="8" t="n">
        <f aca="false">F50*J50/SUMIFS($J$2:$J$108,$A$2:$A$108,A50)</f>
        <v>326.282666666667</v>
      </c>
      <c r="L50" s="10" t="n">
        <f aca="false">IF(C50=1,1,IF(C50=2,0.5,IF(OR(B50=1,B50=C50),0.4,0.2/(C50-2))))</f>
        <v>0.4</v>
      </c>
      <c r="M50" s="8" t="n">
        <f aca="false">F50*L50</f>
        <v>244.712</v>
      </c>
    </row>
    <row r="51" customFormat="false" ht="15" hidden="false" customHeight="false" outlineLevel="0" collapsed="false">
      <c r="A51" s="6" t="s">
        <v>88</v>
      </c>
      <c r="B51" s="6" t="n">
        <v>1</v>
      </c>
      <c r="C51" s="6" t="n">
        <v>4</v>
      </c>
      <c r="D51" s="6" t="s">
        <v>46</v>
      </c>
      <c r="E51" s="6" t="s">
        <v>78</v>
      </c>
      <c r="F51" s="7" t="n">
        <v>485.94</v>
      </c>
      <c r="G51" s="8" t="n">
        <f aca="false">F51/C51</f>
        <v>121.485</v>
      </c>
      <c r="H51" s="8" t="n">
        <f aca="false">IF(B51=1,F51,0)</f>
        <v>485.94</v>
      </c>
      <c r="I51" s="8" t="n">
        <f aca="false">IF(B51=C51,F51,0)</f>
        <v>0</v>
      </c>
      <c r="J51" s="9" t="n">
        <f aca="false">2^B51</f>
        <v>2</v>
      </c>
      <c r="K51" s="8" t="n">
        <f aca="false">F51*J51/SUMIFS($J$2:$J$108,$A$2:$A$108,A51)</f>
        <v>32.396</v>
      </c>
      <c r="L51" s="10" t="n">
        <f aca="false">IF(C51=1,1,IF(C51=2,0.5,IF(OR(B51=1,B51=C51),0.4,0.2/(C51-2))))</f>
        <v>0.4</v>
      </c>
      <c r="M51" s="8" t="n">
        <f aca="false">F51*L51</f>
        <v>194.376</v>
      </c>
    </row>
    <row r="52" customFormat="false" ht="15" hidden="false" customHeight="false" outlineLevel="0" collapsed="false">
      <c r="A52" s="6" t="s">
        <v>88</v>
      </c>
      <c r="B52" s="6" t="n">
        <v>2</v>
      </c>
      <c r="C52" s="6" t="n">
        <v>4</v>
      </c>
      <c r="D52" s="6" t="s">
        <v>31</v>
      </c>
      <c r="E52" s="6" t="s">
        <v>75</v>
      </c>
      <c r="F52" s="7" t="n">
        <v>485.94</v>
      </c>
      <c r="G52" s="8" t="n">
        <f aca="false">F52/C52</f>
        <v>121.485</v>
      </c>
      <c r="H52" s="8" t="n">
        <f aca="false">IF(B52=1,F52,0)</f>
        <v>0</v>
      </c>
      <c r="I52" s="8" t="n">
        <f aca="false">IF(B52=C52,F52,0)</f>
        <v>0</v>
      </c>
      <c r="J52" s="9" t="n">
        <f aca="false">2^B52</f>
        <v>4</v>
      </c>
      <c r="K52" s="8" t="n">
        <f aca="false">F52*J52/SUMIFS($J$2:$J$108,$A$2:$A$108,A52)</f>
        <v>64.792</v>
      </c>
      <c r="L52" s="10" t="n">
        <f aca="false">IF(C52=1,1,IF(C52=2,0.5,IF(OR(B52=1,B52=C52),0.4,0.2/(C52-2))))</f>
        <v>0.1</v>
      </c>
      <c r="M52" s="8" t="n">
        <f aca="false">F52*L52</f>
        <v>48.594</v>
      </c>
    </row>
    <row r="53" customFormat="false" ht="15" hidden="false" customHeight="false" outlineLevel="0" collapsed="false">
      <c r="A53" s="6" t="s">
        <v>88</v>
      </c>
      <c r="B53" s="6" t="n">
        <v>3</v>
      </c>
      <c r="C53" s="6" t="n">
        <v>4</v>
      </c>
      <c r="D53" s="6" t="s">
        <v>41</v>
      </c>
      <c r="E53" s="6" t="s">
        <v>42</v>
      </c>
      <c r="F53" s="7" t="n">
        <v>485.94</v>
      </c>
      <c r="G53" s="8" t="n">
        <f aca="false">F53/C53</f>
        <v>121.485</v>
      </c>
      <c r="H53" s="8" t="n">
        <f aca="false">IF(B53=1,F53,0)</f>
        <v>0</v>
      </c>
      <c r="I53" s="8" t="n">
        <f aca="false">IF(B53=C53,F53,0)</f>
        <v>0</v>
      </c>
      <c r="J53" s="9" t="n">
        <f aca="false">2^B53</f>
        <v>8</v>
      </c>
      <c r="K53" s="8" t="n">
        <f aca="false">F53*J53/SUMIFS($J$2:$J$108,$A$2:$A$108,A53)</f>
        <v>129.584</v>
      </c>
      <c r="L53" s="10" t="n">
        <f aca="false">IF(C53=1,1,IF(C53=2,0.5,IF(OR(B53=1,B53=C53),0.4,0.2/(C53-2))))</f>
        <v>0.1</v>
      </c>
      <c r="M53" s="8" t="n">
        <f aca="false">F53*L53</f>
        <v>48.594</v>
      </c>
    </row>
    <row r="54" customFormat="false" ht="15" hidden="false" customHeight="false" outlineLevel="0" collapsed="false">
      <c r="A54" s="6" t="s">
        <v>88</v>
      </c>
      <c r="B54" s="6" t="n">
        <v>4</v>
      </c>
      <c r="C54" s="6" t="n">
        <v>4</v>
      </c>
      <c r="D54" s="6" t="s">
        <v>31</v>
      </c>
      <c r="E54" s="6" t="s">
        <v>89</v>
      </c>
      <c r="F54" s="7" t="n">
        <v>485.94</v>
      </c>
      <c r="G54" s="8" t="n">
        <f aca="false">F54/C54</f>
        <v>121.485</v>
      </c>
      <c r="H54" s="8" t="n">
        <f aca="false">IF(B54=1,F54,0)</f>
        <v>0</v>
      </c>
      <c r="I54" s="8" t="n">
        <f aca="false">IF(B54=C54,F54,0)</f>
        <v>485.94</v>
      </c>
      <c r="J54" s="9" t="n">
        <f aca="false">2^B54</f>
        <v>16</v>
      </c>
      <c r="K54" s="8" t="n">
        <f aca="false">F54*J54/SUMIFS($J$2:$J$108,$A$2:$A$108,A54)</f>
        <v>259.168</v>
      </c>
      <c r="L54" s="10" t="n">
        <f aca="false">IF(C54=1,1,IF(C54=2,0.5,IF(OR(B54=1,B54=C54),0.4,0.2/(C54-2))))</f>
        <v>0.4</v>
      </c>
      <c r="M54" s="8" t="n">
        <f aca="false">F54*L54</f>
        <v>194.376</v>
      </c>
    </row>
    <row r="55" customFormat="false" ht="15" hidden="false" customHeight="false" outlineLevel="0" collapsed="false">
      <c r="A55" s="6" t="s">
        <v>90</v>
      </c>
      <c r="B55" s="6" t="n">
        <v>1</v>
      </c>
      <c r="C55" s="6" t="n">
        <v>1</v>
      </c>
      <c r="D55" s="6" t="s">
        <v>53</v>
      </c>
      <c r="E55" s="6" t="s">
        <v>91</v>
      </c>
      <c r="F55" s="7" t="n">
        <v>399.69</v>
      </c>
      <c r="G55" s="8" t="n">
        <f aca="false">F55/C55</f>
        <v>399.69</v>
      </c>
      <c r="H55" s="8" t="n">
        <f aca="false">IF(B55=1,F55,0)</f>
        <v>399.69</v>
      </c>
      <c r="I55" s="8" t="n">
        <f aca="false">IF(B55=C55,F55,0)</f>
        <v>399.69</v>
      </c>
      <c r="J55" s="9" t="n">
        <f aca="false">2^B55</f>
        <v>2</v>
      </c>
      <c r="K55" s="8" t="n">
        <f aca="false">F55*J55/SUMIFS($J$2:$J$108,$A$2:$A$108,A55)</f>
        <v>399.69</v>
      </c>
      <c r="L55" s="10" t="n">
        <f aca="false">IF(C55=1,1,IF(C55=2,0.5,IF(OR(B55=1,B55=C55),0.4,0.2/(C55-2))))</f>
        <v>1</v>
      </c>
      <c r="M55" s="8" t="n">
        <f aca="false">F55*L55</f>
        <v>399.69</v>
      </c>
    </row>
    <row r="56" customFormat="false" ht="15" hidden="false" customHeight="false" outlineLevel="0" collapsed="false">
      <c r="A56" s="6" t="s">
        <v>92</v>
      </c>
      <c r="B56" s="6" t="n">
        <v>1</v>
      </c>
      <c r="C56" s="6" t="n">
        <v>3</v>
      </c>
      <c r="D56" s="6" t="s">
        <v>39</v>
      </c>
      <c r="E56" s="6" t="s">
        <v>68</v>
      </c>
      <c r="F56" s="7" t="n">
        <v>436.14</v>
      </c>
      <c r="G56" s="8" t="n">
        <f aca="false">F56/C56</f>
        <v>145.38</v>
      </c>
      <c r="H56" s="8" t="n">
        <f aca="false">IF(B56=1,F56,0)</f>
        <v>436.14</v>
      </c>
      <c r="I56" s="8" t="n">
        <f aca="false">IF(B56=C56,F56,0)</f>
        <v>0</v>
      </c>
      <c r="J56" s="9" t="n">
        <f aca="false">2^B56</f>
        <v>2</v>
      </c>
      <c r="K56" s="8" t="n">
        <f aca="false">F56*J56/SUMIFS($J$2:$J$108,$A$2:$A$108,A56)</f>
        <v>62.3057142857143</v>
      </c>
      <c r="L56" s="10" t="n">
        <f aca="false">IF(C56=1,1,IF(C56=2,0.5,IF(OR(B56=1,B56=C56),0.4,0.2/(C56-2))))</f>
        <v>0.4</v>
      </c>
      <c r="M56" s="8" t="n">
        <f aca="false">F56*L56</f>
        <v>174.456</v>
      </c>
    </row>
    <row r="57" customFormat="false" ht="15" hidden="false" customHeight="false" outlineLevel="0" collapsed="false">
      <c r="A57" s="6" t="s">
        <v>92</v>
      </c>
      <c r="B57" s="6" t="n">
        <v>2</v>
      </c>
      <c r="C57" s="6" t="n">
        <v>3</v>
      </c>
      <c r="D57" s="6" t="s">
        <v>39</v>
      </c>
      <c r="E57" s="6" t="s">
        <v>93</v>
      </c>
      <c r="F57" s="7" t="n">
        <v>436.14</v>
      </c>
      <c r="G57" s="8" t="n">
        <f aca="false">F57/C57</f>
        <v>145.38</v>
      </c>
      <c r="H57" s="8" t="n">
        <f aca="false">IF(B57=1,F57,0)</f>
        <v>0</v>
      </c>
      <c r="I57" s="8" t="n">
        <f aca="false">IF(B57=C57,F57,0)</f>
        <v>0</v>
      </c>
      <c r="J57" s="9" t="n">
        <f aca="false">2^B57</f>
        <v>4</v>
      </c>
      <c r="K57" s="8" t="n">
        <f aca="false">F57*J57/SUMIFS($J$2:$J$108,$A$2:$A$108,A57)</f>
        <v>124.611428571429</v>
      </c>
      <c r="L57" s="10" t="n">
        <f aca="false">IF(C57=1,1,IF(C57=2,0.5,IF(OR(B57=1,B57=C57),0.4,0.2/(C57-2))))</f>
        <v>0.2</v>
      </c>
      <c r="M57" s="8" t="n">
        <f aca="false">F57*L57</f>
        <v>87.228</v>
      </c>
    </row>
    <row r="58" customFormat="false" ht="15" hidden="false" customHeight="false" outlineLevel="0" collapsed="false">
      <c r="A58" s="6" t="s">
        <v>92</v>
      </c>
      <c r="B58" s="6" t="n">
        <v>3</v>
      </c>
      <c r="C58" s="6" t="n">
        <v>3</v>
      </c>
      <c r="D58" s="6" t="s">
        <v>41</v>
      </c>
      <c r="E58" s="6" t="s">
        <v>59</v>
      </c>
      <c r="F58" s="7" t="n">
        <v>436.14</v>
      </c>
      <c r="G58" s="8" t="n">
        <f aca="false">F58/C58</f>
        <v>145.38</v>
      </c>
      <c r="H58" s="8" t="n">
        <f aca="false">IF(B58=1,F58,0)</f>
        <v>0</v>
      </c>
      <c r="I58" s="8" t="n">
        <f aca="false">IF(B58=C58,F58,0)</f>
        <v>436.14</v>
      </c>
      <c r="J58" s="9" t="n">
        <f aca="false">2^B58</f>
        <v>8</v>
      </c>
      <c r="K58" s="8" t="n">
        <f aca="false">F58*J58/SUMIFS($J$2:$J$108,$A$2:$A$108,A58)</f>
        <v>249.222857142857</v>
      </c>
      <c r="L58" s="10" t="n">
        <f aca="false">IF(C58=1,1,IF(C58=2,0.5,IF(OR(B58=1,B58=C58),0.4,0.2/(C58-2))))</f>
        <v>0.4</v>
      </c>
      <c r="M58" s="8" t="n">
        <f aca="false">F58*L58</f>
        <v>174.456</v>
      </c>
    </row>
    <row r="59" customFormat="false" ht="15" hidden="false" customHeight="false" outlineLevel="0" collapsed="false">
      <c r="A59" s="6" t="s">
        <v>94</v>
      </c>
      <c r="B59" s="6" t="n">
        <v>1</v>
      </c>
      <c r="C59" s="6" t="n">
        <v>1</v>
      </c>
      <c r="D59" s="6" t="s">
        <v>31</v>
      </c>
      <c r="E59" s="6" t="s">
        <v>54</v>
      </c>
      <c r="F59" s="7" t="n">
        <v>249.33</v>
      </c>
      <c r="G59" s="8" t="n">
        <f aca="false">F59/C59</f>
        <v>249.33</v>
      </c>
      <c r="H59" s="8" t="n">
        <f aca="false">IF(B59=1,F59,0)</f>
        <v>249.33</v>
      </c>
      <c r="I59" s="8" t="n">
        <f aca="false">IF(B59=C59,F59,0)</f>
        <v>249.33</v>
      </c>
      <c r="J59" s="9" t="n">
        <f aca="false">2^B59</f>
        <v>2</v>
      </c>
      <c r="K59" s="8" t="n">
        <f aca="false">F59*J59/SUMIFS($J$2:$J$108,$A$2:$A$108,A59)</f>
        <v>249.33</v>
      </c>
      <c r="L59" s="10" t="n">
        <f aca="false">IF(C59=1,1,IF(C59=2,0.5,IF(OR(B59=1,B59=C59),0.4,0.2/(C59-2))))</f>
        <v>1</v>
      </c>
      <c r="M59" s="8" t="n">
        <f aca="false">F59*L59</f>
        <v>249.33</v>
      </c>
    </row>
    <row r="60" customFormat="false" ht="15" hidden="false" customHeight="false" outlineLevel="0" collapsed="false">
      <c r="A60" s="6" t="s">
        <v>95</v>
      </c>
      <c r="B60" s="6" t="n">
        <v>1</v>
      </c>
      <c r="C60" s="6" t="n">
        <v>2</v>
      </c>
      <c r="D60" s="6" t="s">
        <v>31</v>
      </c>
      <c r="E60" s="6" t="s">
        <v>96</v>
      </c>
      <c r="F60" s="7" t="n">
        <v>413.42</v>
      </c>
      <c r="G60" s="8" t="n">
        <f aca="false">F60/C60</f>
        <v>206.71</v>
      </c>
      <c r="H60" s="8" t="n">
        <f aca="false">IF(B60=1,F60,0)</f>
        <v>413.42</v>
      </c>
      <c r="I60" s="8" t="n">
        <f aca="false">IF(B60=C60,F60,0)</f>
        <v>0</v>
      </c>
      <c r="J60" s="9" t="n">
        <f aca="false">2^B60</f>
        <v>2</v>
      </c>
      <c r="K60" s="8" t="n">
        <f aca="false">F60*J60/SUMIFS($J$2:$J$108,$A$2:$A$108,A60)</f>
        <v>137.806666666667</v>
      </c>
      <c r="L60" s="10" t="n">
        <f aca="false">IF(C60=1,1,IF(C60=2,0.5,IF(OR(B60=1,B60=C60),0.4,0.2/(C60-2))))</f>
        <v>0.5</v>
      </c>
      <c r="M60" s="8" t="n">
        <f aca="false">F60*L60</f>
        <v>206.71</v>
      </c>
    </row>
    <row r="61" customFormat="false" ht="15" hidden="false" customHeight="false" outlineLevel="0" collapsed="false">
      <c r="A61" s="6" t="s">
        <v>95</v>
      </c>
      <c r="B61" s="6" t="n">
        <v>2</v>
      </c>
      <c r="C61" s="6" t="n">
        <v>2</v>
      </c>
      <c r="D61" s="6" t="s">
        <v>31</v>
      </c>
      <c r="E61" s="6" t="s">
        <v>97</v>
      </c>
      <c r="F61" s="7" t="n">
        <v>413.42</v>
      </c>
      <c r="G61" s="8" t="n">
        <f aca="false">F61/C61</f>
        <v>206.71</v>
      </c>
      <c r="H61" s="8" t="n">
        <f aca="false">IF(B61=1,F61,0)</f>
        <v>0</v>
      </c>
      <c r="I61" s="8" t="n">
        <f aca="false">IF(B61=C61,F61,0)</f>
        <v>413.42</v>
      </c>
      <c r="J61" s="9" t="n">
        <f aca="false">2^B61</f>
        <v>4</v>
      </c>
      <c r="K61" s="8" t="n">
        <f aca="false">F61*J61/SUMIFS($J$2:$J$108,$A$2:$A$108,A61)</f>
        <v>275.613333333333</v>
      </c>
      <c r="L61" s="10" t="n">
        <f aca="false">IF(C61=1,1,IF(C61=2,0.5,IF(OR(B61=1,B61=C61),0.4,0.2/(C61-2))))</f>
        <v>0.5</v>
      </c>
      <c r="M61" s="8" t="n">
        <f aca="false">F61*L61</f>
        <v>206.71</v>
      </c>
    </row>
    <row r="62" customFormat="false" ht="15" hidden="false" customHeight="false" outlineLevel="0" collapsed="false">
      <c r="A62" s="6" t="s">
        <v>98</v>
      </c>
      <c r="B62" s="6" t="n">
        <v>1</v>
      </c>
      <c r="C62" s="6" t="n">
        <v>4</v>
      </c>
      <c r="D62" s="6" t="s">
        <v>31</v>
      </c>
      <c r="E62" s="6" t="s">
        <v>64</v>
      </c>
      <c r="F62" s="7" t="n">
        <v>134.09</v>
      </c>
      <c r="G62" s="8" t="n">
        <f aca="false">F62/C62</f>
        <v>33.5225</v>
      </c>
      <c r="H62" s="8" t="n">
        <f aca="false">IF(B62=1,F62,0)</f>
        <v>134.09</v>
      </c>
      <c r="I62" s="8" t="n">
        <f aca="false">IF(B62=C62,F62,0)</f>
        <v>0</v>
      </c>
      <c r="J62" s="9" t="n">
        <f aca="false">2^B62</f>
        <v>2</v>
      </c>
      <c r="K62" s="8" t="n">
        <f aca="false">F62*J62/SUMIFS($J$2:$J$108,$A$2:$A$108,A62)</f>
        <v>8.93933333333333</v>
      </c>
      <c r="L62" s="10" t="n">
        <f aca="false">IF(C62=1,1,IF(C62=2,0.5,IF(OR(B62=1,B62=C62),0.4,0.2/(C62-2))))</f>
        <v>0.4</v>
      </c>
      <c r="M62" s="8" t="n">
        <f aca="false">F62*L62</f>
        <v>53.636</v>
      </c>
    </row>
    <row r="63" customFormat="false" ht="15" hidden="false" customHeight="false" outlineLevel="0" collapsed="false">
      <c r="A63" s="6" t="s">
        <v>98</v>
      </c>
      <c r="B63" s="6" t="n">
        <v>2</v>
      </c>
      <c r="C63" s="6" t="n">
        <v>4</v>
      </c>
      <c r="D63" s="6" t="s">
        <v>31</v>
      </c>
      <c r="E63" s="6" t="s">
        <v>89</v>
      </c>
      <c r="F63" s="7" t="n">
        <v>134.09</v>
      </c>
      <c r="G63" s="8" t="n">
        <f aca="false">F63/C63</f>
        <v>33.5225</v>
      </c>
      <c r="H63" s="8" t="n">
        <f aca="false">IF(B63=1,F63,0)</f>
        <v>0</v>
      </c>
      <c r="I63" s="8" t="n">
        <f aca="false">IF(B63=C63,F63,0)</f>
        <v>0</v>
      </c>
      <c r="J63" s="9" t="n">
        <f aca="false">2^B63</f>
        <v>4</v>
      </c>
      <c r="K63" s="8" t="n">
        <f aca="false">F63*J63/SUMIFS($J$2:$J$108,$A$2:$A$108,A63)</f>
        <v>17.8786666666667</v>
      </c>
      <c r="L63" s="10" t="n">
        <f aca="false">IF(C63=1,1,IF(C63=2,0.5,IF(OR(B63=1,B63=C63),0.4,0.2/(C63-2))))</f>
        <v>0.1</v>
      </c>
      <c r="M63" s="8" t="n">
        <f aca="false">F63*L63</f>
        <v>13.409</v>
      </c>
    </row>
    <row r="64" customFormat="false" ht="15" hidden="false" customHeight="false" outlineLevel="0" collapsed="false">
      <c r="A64" s="6" t="s">
        <v>98</v>
      </c>
      <c r="B64" s="6" t="n">
        <v>3</v>
      </c>
      <c r="C64" s="6" t="n">
        <v>4</v>
      </c>
      <c r="D64" s="6" t="s">
        <v>39</v>
      </c>
      <c r="E64" s="6" t="s">
        <v>99</v>
      </c>
      <c r="F64" s="7" t="n">
        <v>134.09</v>
      </c>
      <c r="G64" s="8" t="n">
        <f aca="false">F64/C64</f>
        <v>33.5225</v>
      </c>
      <c r="H64" s="8" t="n">
        <f aca="false">IF(B64=1,F64,0)</f>
        <v>0</v>
      </c>
      <c r="I64" s="8" t="n">
        <f aca="false">IF(B64=C64,F64,0)</f>
        <v>0</v>
      </c>
      <c r="J64" s="9" t="n">
        <f aca="false">2^B64</f>
        <v>8</v>
      </c>
      <c r="K64" s="8" t="n">
        <f aca="false">F64*J64/SUMIFS($J$2:$J$108,$A$2:$A$108,A64)</f>
        <v>35.7573333333333</v>
      </c>
      <c r="L64" s="10" t="n">
        <f aca="false">IF(C64=1,1,IF(C64=2,0.5,IF(OR(B64=1,B64=C64),0.4,0.2/(C64-2))))</f>
        <v>0.1</v>
      </c>
      <c r="M64" s="8" t="n">
        <f aca="false">F64*L64</f>
        <v>13.409</v>
      </c>
    </row>
    <row r="65" customFormat="false" ht="15" hidden="false" customHeight="false" outlineLevel="0" collapsed="false">
      <c r="A65" s="6" t="s">
        <v>98</v>
      </c>
      <c r="B65" s="6" t="n">
        <v>4</v>
      </c>
      <c r="C65" s="6" t="n">
        <v>4</v>
      </c>
      <c r="D65" s="6" t="s">
        <v>31</v>
      </c>
      <c r="E65" s="6" t="s">
        <v>85</v>
      </c>
      <c r="F65" s="7" t="n">
        <v>134.09</v>
      </c>
      <c r="G65" s="8" t="n">
        <f aca="false">F65/C65</f>
        <v>33.5225</v>
      </c>
      <c r="H65" s="8" t="n">
        <f aca="false">IF(B65=1,F65,0)</f>
        <v>0</v>
      </c>
      <c r="I65" s="8" t="n">
        <f aca="false">IF(B65=C65,F65,0)</f>
        <v>134.09</v>
      </c>
      <c r="J65" s="9" t="n">
        <f aca="false">2^B65</f>
        <v>16</v>
      </c>
      <c r="K65" s="8" t="n">
        <f aca="false">F65*J65/SUMIFS($J$2:$J$108,$A$2:$A$108,A65)</f>
        <v>71.5146666666667</v>
      </c>
      <c r="L65" s="10" t="n">
        <f aca="false">IF(C65=1,1,IF(C65=2,0.5,IF(OR(B65=1,B65=C65),0.4,0.2/(C65-2))))</f>
        <v>0.4</v>
      </c>
      <c r="M65" s="8" t="n">
        <f aca="false">F65*L65</f>
        <v>53.636</v>
      </c>
    </row>
    <row r="66" customFormat="false" ht="15" hidden="false" customHeight="false" outlineLevel="0" collapsed="false">
      <c r="A66" s="6" t="s">
        <v>100</v>
      </c>
      <c r="B66" s="6" t="n">
        <v>1</v>
      </c>
      <c r="C66" s="6" t="n">
        <v>3</v>
      </c>
      <c r="D66" s="6" t="s">
        <v>55</v>
      </c>
      <c r="E66" s="6" t="s">
        <v>82</v>
      </c>
      <c r="F66" s="7" t="n">
        <v>301.39</v>
      </c>
      <c r="G66" s="8" t="n">
        <f aca="false">F66/C66</f>
        <v>100.463333333333</v>
      </c>
      <c r="H66" s="8" t="n">
        <f aca="false">IF(B66=1,F66,0)</f>
        <v>301.39</v>
      </c>
      <c r="I66" s="8" t="n">
        <f aca="false">IF(B66=C66,F66,0)</f>
        <v>0</v>
      </c>
      <c r="J66" s="9" t="n">
        <f aca="false">2^B66</f>
        <v>2</v>
      </c>
      <c r="K66" s="8" t="n">
        <f aca="false">F66*J66/SUMIFS($J$2:$J$108,$A$2:$A$108,A66)</f>
        <v>43.0557142857143</v>
      </c>
      <c r="L66" s="10" t="n">
        <f aca="false">IF(C66=1,1,IF(C66=2,0.5,IF(OR(B66=1,B66=C66),0.4,0.2/(C66-2))))</f>
        <v>0.4</v>
      </c>
      <c r="M66" s="8" t="n">
        <f aca="false">F66*L66</f>
        <v>120.556</v>
      </c>
    </row>
    <row r="67" customFormat="false" ht="15" hidden="false" customHeight="false" outlineLevel="0" collapsed="false">
      <c r="A67" s="6" t="s">
        <v>100</v>
      </c>
      <c r="B67" s="6" t="n">
        <v>2</v>
      </c>
      <c r="C67" s="6" t="n">
        <v>3</v>
      </c>
      <c r="D67" s="6" t="s">
        <v>31</v>
      </c>
      <c r="E67" s="6" t="s">
        <v>59</v>
      </c>
      <c r="F67" s="7" t="n">
        <v>301.39</v>
      </c>
      <c r="G67" s="8" t="n">
        <f aca="false">F67/C67</f>
        <v>100.463333333333</v>
      </c>
      <c r="H67" s="8" t="n">
        <f aca="false">IF(B67=1,F67,0)</f>
        <v>0</v>
      </c>
      <c r="I67" s="8" t="n">
        <f aca="false">IF(B67=C67,F67,0)</f>
        <v>0</v>
      </c>
      <c r="J67" s="9" t="n">
        <f aca="false">2^B67</f>
        <v>4</v>
      </c>
      <c r="K67" s="8" t="n">
        <f aca="false">F67*J67/SUMIFS($J$2:$J$108,$A$2:$A$108,A67)</f>
        <v>86.1114285714286</v>
      </c>
      <c r="L67" s="10" t="n">
        <f aca="false">IF(C67=1,1,IF(C67=2,0.5,IF(OR(B67=1,B67=C67),0.4,0.2/(C67-2))))</f>
        <v>0.2</v>
      </c>
      <c r="M67" s="8" t="n">
        <f aca="false">F67*L67</f>
        <v>60.278</v>
      </c>
    </row>
    <row r="68" customFormat="false" ht="15" hidden="false" customHeight="false" outlineLevel="0" collapsed="false">
      <c r="A68" s="6" t="s">
        <v>100</v>
      </c>
      <c r="B68" s="6" t="n">
        <v>3</v>
      </c>
      <c r="C68" s="6" t="n">
        <v>3</v>
      </c>
      <c r="D68" s="6" t="s">
        <v>31</v>
      </c>
      <c r="E68" s="6" t="s">
        <v>49</v>
      </c>
      <c r="F68" s="7" t="n">
        <v>301.39</v>
      </c>
      <c r="G68" s="8" t="n">
        <f aca="false">F68/C68</f>
        <v>100.463333333333</v>
      </c>
      <c r="H68" s="8" t="n">
        <f aca="false">IF(B68=1,F68,0)</f>
        <v>0</v>
      </c>
      <c r="I68" s="8" t="n">
        <f aca="false">IF(B68=C68,F68,0)</f>
        <v>301.39</v>
      </c>
      <c r="J68" s="9" t="n">
        <f aca="false">2^B68</f>
        <v>8</v>
      </c>
      <c r="K68" s="8" t="n">
        <f aca="false">F68*J68/SUMIFS($J$2:$J$108,$A$2:$A$108,A68)</f>
        <v>172.222857142857</v>
      </c>
      <c r="L68" s="10" t="n">
        <f aca="false">IF(C68=1,1,IF(C68=2,0.5,IF(OR(B68=1,B68=C68),0.4,0.2/(C68-2))))</f>
        <v>0.4</v>
      </c>
      <c r="M68" s="8" t="n">
        <f aca="false">F68*L68</f>
        <v>120.556</v>
      </c>
    </row>
    <row r="69" customFormat="false" ht="15" hidden="false" customHeight="false" outlineLevel="0" collapsed="false">
      <c r="A69" s="6" t="s">
        <v>101</v>
      </c>
      <c r="B69" s="6" t="n">
        <v>1</v>
      </c>
      <c r="C69" s="6" t="n">
        <v>3</v>
      </c>
      <c r="D69" s="6" t="s">
        <v>46</v>
      </c>
      <c r="E69" s="6" t="s">
        <v>40</v>
      </c>
      <c r="F69" s="7" t="n">
        <v>250.01</v>
      </c>
      <c r="G69" s="8" t="n">
        <f aca="false">F69/C69</f>
        <v>83.3366666666667</v>
      </c>
      <c r="H69" s="8" t="n">
        <f aca="false">IF(B69=1,F69,0)</f>
        <v>250.01</v>
      </c>
      <c r="I69" s="8" t="n">
        <f aca="false">IF(B69=C69,F69,0)</f>
        <v>0</v>
      </c>
      <c r="J69" s="9" t="n">
        <f aca="false">2^B69</f>
        <v>2</v>
      </c>
      <c r="K69" s="8" t="n">
        <f aca="false">F69*J69/SUMIFS($J$2:$J$108,$A$2:$A$108,A69)</f>
        <v>35.7157142857143</v>
      </c>
      <c r="L69" s="10" t="n">
        <f aca="false">IF(C69=1,1,IF(C69=2,0.5,IF(OR(B69=1,B69=C69),0.4,0.2/(C69-2))))</f>
        <v>0.4</v>
      </c>
      <c r="M69" s="8" t="n">
        <f aca="false">F69*L69</f>
        <v>100.004</v>
      </c>
    </row>
    <row r="70" customFormat="false" ht="15" hidden="false" customHeight="false" outlineLevel="0" collapsed="false">
      <c r="A70" s="6" t="s">
        <v>101</v>
      </c>
      <c r="B70" s="6" t="n">
        <v>2</v>
      </c>
      <c r="C70" s="6" t="n">
        <v>3</v>
      </c>
      <c r="D70" s="6" t="s">
        <v>31</v>
      </c>
      <c r="E70" s="6" t="s">
        <v>42</v>
      </c>
      <c r="F70" s="7" t="n">
        <v>250.01</v>
      </c>
      <c r="G70" s="8" t="n">
        <f aca="false">F70/C70</f>
        <v>83.3366666666667</v>
      </c>
      <c r="H70" s="8" t="n">
        <f aca="false">IF(B70=1,F70,0)</f>
        <v>0</v>
      </c>
      <c r="I70" s="8" t="n">
        <f aca="false">IF(B70=C70,F70,0)</f>
        <v>0</v>
      </c>
      <c r="J70" s="9" t="n">
        <f aca="false">2^B70</f>
        <v>4</v>
      </c>
      <c r="K70" s="8" t="n">
        <f aca="false">F70*J70/SUMIFS($J$2:$J$108,$A$2:$A$108,A70)</f>
        <v>71.4314285714286</v>
      </c>
      <c r="L70" s="10" t="n">
        <f aca="false">IF(C70=1,1,IF(C70=2,0.5,IF(OR(B70=1,B70=C70),0.4,0.2/(C70-2))))</f>
        <v>0.2</v>
      </c>
      <c r="M70" s="8" t="n">
        <f aca="false">F70*L70</f>
        <v>50.002</v>
      </c>
    </row>
    <row r="71" customFormat="false" ht="15" hidden="false" customHeight="false" outlineLevel="0" collapsed="false">
      <c r="A71" s="6" t="s">
        <v>101</v>
      </c>
      <c r="B71" s="6" t="n">
        <v>3</v>
      </c>
      <c r="C71" s="6" t="n">
        <v>3</v>
      </c>
      <c r="D71" s="6" t="s">
        <v>41</v>
      </c>
      <c r="E71" s="6" t="s">
        <v>64</v>
      </c>
      <c r="F71" s="7" t="n">
        <v>250.01</v>
      </c>
      <c r="G71" s="8" t="n">
        <f aca="false">F71/C71</f>
        <v>83.3366666666667</v>
      </c>
      <c r="H71" s="8" t="n">
        <f aca="false">IF(B71=1,F71,0)</f>
        <v>0</v>
      </c>
      <c r="I71" s="8" t="n">
        <f aca="false">IF(B71=C71,F71,0)</f>
        <v>250.01</v>
      </c>
      <c r="J71" s="9" t="n">
        <f aca="false">2^B71</f>
        <v>8</v>
      </c>
      <c r="K71" s="8" t="n">
        <f aca="false">F71*J71/SUMIFS($J$2:$J$108,$A$2:$A$108,A71)</f>
        <v>142.862857142857</v>
      </c>
      <c r="L71" s="10" t="n">
        <f aca="false">IF(C71=1,1,IF(C71=2,0.5,IF(OR(B71=1,B71=C71),0.4,0.2/(C71-2))))</f>
        <v>0.4</v>
      </c>
      <c r="M71" s="8" t="n">
        <f aca="false">F71*L71</f>
        <v>100.004</v>
      </c>
    </row>
    <row r="72" customFormat="false" ht="15" hidden="false" customHeight="false" outlineLevel="0" collapsed="false">
      <c r="A72" s="6" t="s">
        <v>102</v>
      </c>
      <c r="B72" s="6" t="n">
        <v>1</v>
      </c>
      <c r="C72" s="6" t="n">
        <v>1</v>
      </c>
      <c r="D72" s="6" t="s">
        <v>41</v>
      </c>
      <c r="E72" s="6" t="s">
        <v>103</v>
      </c>
      <c r="F72" s="7" t="n">
        <v>296.25</v>
      </c>
      <c r="G72" s="8" t="n">
        <f aca="false">F72/C72</f>
        <v>296.25</v>
      </c>
      <c r="H72" s="8" t="n">
        <f aca="false">IF(B72=1,F72,0)</f>
        <v>296.25</v>
      </c>
      <c r="I72" s="8" t="n">
        <f aca="false">IF(B72=C72,F72,0)</f>
        <v>296.25</v>
      </c>
      <c r="J72" s="9" t="n">
        <f aca="false">2^B72</f>
        <v>2</v>
      </c>
      <c r="K72" s="8" t="n">
        <f aca="false">F72*J72/SUMIFS($J$2:$J$108,$A$2:$A$108,A72)</f>
        <v>296.25</v>
      </c>
      <c r="L72" s="10" t="n">
        <f aca="false">IF(C72=1,1,IF(C72=2,0.5,IF(OR(B72=1,B72=C72),0.4,0.2/(C72-2))))</f>
        <v>1</v>
      </c>
      <c r="M72" s="8" t="n">
        <f aca="false">F72*L72</f>
        <v>296.25</v>
      </c>
    </row>
    <row r="73" customFormat="false" ht="15" hidden="false" customHeight="false" outlineLevel="0" collapsed="false">
      <c r="A73" s="6" t="s">
        <v>104</v>
      </c>
      <c r="B73" s="6" t="n">
        <v>1</v>
      </c>
      <c r="C73" s="6" t="n">
        <v>2</v>
      </c>
      <c r="D73" s="6" t="s">
        <v>46</v>
      </c>
      <c r="E73" s="6" t="s">
        <v>60</v>
      </c>
      <c r="F73" s="7" t="n">
        <v>542.36</v>
      </c>
      <c r="G73" s="8" t="n">
        <f aca="false">F73/C73</f>
        <v>271.18</v>
      </c>
      <c r="H73" s="8" t="n">
        <f aca="false">IF(B73=1,F73,0)</f>
        <v>542.36</v>
      </c>
      <c r="I73" s="8" t="n">
        <f aca="false">IF(B73=C73,F73,0)</f>
        <v>0</v>
      </c>
      <c r="J73" s="9" t="n">
        <f aca="false">2^B73</f>
        <v>2</v>
      </c>
      <c r="K73" s="8" t="n">
        <f aca="false">F73*J73/SUMIFS($J$2:$J$108,$A$2:$A$108,A73)</f>
        <v>180.786666666667</v>
      </c>
      <c r="L73" s="10" t="n">
        <f aca="false">IF(C73=1,1,IF(C73=2,0.5,IF(OR(B73=1,B73=C73),0.4,0.2/(C73-2))))</f>
        <v>0.5</v>
      </c>
      <c r="M73" s="8" t="n">
        <f aca="false">F73*L73</f>
        <v>271.18</v>
      </c>
    </row>
    <row r="74" customFormat="false" ht="15" hidden="false" customHeight="false" outlineLevel="0" collapsed="false">
      <c r="A74" s="6" t="s">
        <v>104</v>
      </c>
      <c r="B74" s="6" t="n">
        <v>2</v>
      </c>
      <c r="C74" s="6" t="n">
        <v>2</v>
      </c>
      <c r="D74" s="6" t="s">
        <v>41</v>
      </c>
      <c r="E74" s="6" t="s">
        <v>52</v>
      </c>
      <c r="F74" s="7" t="n">
        <v>542.36</v>
      </c>
      <c r="G74" s="8" t="n">
        <f aca="false">F74/C74</f>
        <v>271.18</v>
      </c>
      <c r="H74" s="8" t="n">
        <f aca="false">IF(B74=1,F74,0)</f>
        <v>0</v>
      </c>
      <c r="I74" s="8" t="n">
        <f aca="false">IF(B74=C74,F74,0)</f>
        <v>542.36</v>
      </c>
      <c r="J74" s="9" t="n">
        <f aca="false">2^B74</f>
        <v>4</v>
      </c>
      <c r="K74" s="8" t="n">
        <f aca="false">F74*J74/SUMIFS($J$2:$J$108,$A$2:$A$108,A74)</f>
        <v>361.573333333333</v>
      </c>
      <c r="L74" s="10" t="n">
        <f aca="false">IF(C74=1,1,IF(C74=2,0.5,IF(OR(B74=1,B74=C74),0.4,0.2/(C74-2))))</f>
        <v>0.5</v>
      </c>
      <c r="M74" s="8" t="n">
        <f aca="false">F74*L74</f>
        <v>271.18</v>
      </c>
    </row>
    <row r="75" customFormat="false" ht="15" hidden="false" customHeight="false" outlineLevel="0" collapsed="false">
      <c r="A75" s="6" t="s">
        <v>105</v>
      </c>
      <c r="B75" s="6" t="n">
        <v>1</v>
      </c>
      <c r="C75" s="6" t="n">
        <v>3</v>
      </c>
      <c r="D75" s="6" t="s">
        <v>53</v>
      </c>
      <c r="E75" s="6" t="s">
        <v>97</v>
      </c>
      <c r="F75" s="7" t="n">
        <v>482</v>
      </c>
      <c r="G75" s="8" t="n">
        <f aca="false">F75/C75</f>
        <v>160.666666666667</v>
      </c>
      <c r="H75" s="8" t="n">
        <f aca="false">IF(B75=1,F75,0)</f>
        <v>482</v>
      </c>
      <c r="I75" s="8" t="n">
        <f aca="false">IF(B75=C75,F75,0)</f>
        <v>0</v>
      </c>
      <c r="J75" s="9" t="n">
        <f aca="false">2^B75</f>
        <v>2</v>
      </c>
      <c r="K75" s="8" t="n">
        <f aca="false">F75*J75/SUMIFS($J$2:$J$108,$A$2:$A$108,A75)</f>
        <v>68.8571428571429</v>
      </c>
      <c r="L75" s="10" t="n">
        <f aca="false">IF(C75=1,1,IF(C75=2,0.5,IF(OR(B75=1,B75=C75),0.4,0.2/(C75-2))))</f>
        <v>0.4</v>
      </c>
      <c r="M75" s="8" t="n">
        <f aca="false">F75*L75</f>
        <v>192.8</v>
      </c>
    </row>
    <row r="76" customFormat="false" ht="15" hidden="false" customHeight="false" outlineLevel="0" collapsed="false">
      <c r="A76" s="6" t="s">
        <v>105</v>
      </c>
      <c r="B76" s="6" t="n">
        <v>2</v>
      </c>
      <c r="C76" s="6" t="n">
        <v>3</v>
      </c>
      <c r="D76" s="6" t="s">
        <v>31</v>
      </c>
      <c r="E76" s="6" t="s">
        <v>106</v>
      </c>
      <c r="F76" s="7" t="n">
        <v>482</v>
      </c>
      <c r="G76" s="8" t="n">
        <f aca="false">F76/C76</f>
        <v>160.666666666667</v>
      </c>
      <c r="H76" s="8" t="n">
        <f aca="false">IF(B76=1,F76,0)</f>
        <v>0</v>
      </c>
      <c r="I76" s="8" t="n">
        <f aca="false">IF(B76=C76,F76,0)</f>
        <v>0</v>
      </c>
      <c r="J76" s="9" t="n">
        <f aca="false">2^B76</f>
        <v>4</v>
      </c>
      <c r="K76" s="8" t="n">
        <f aca="false">F76*J76/SUMIFS($J$2:$J$108,$A$2:$A$108,A76)</f>
        <v>137.714285714286</v>
      </c>
      <c r="L76" s="10" t="n">
        <f aca="false">IF(C76=1,1,IF(C76=2,0.5,IF(OR(B76=1,B76=C76),0.4,0.2/(C76-2))))</f>
        <v>0.2</v>
      </c>
      <c r="M76" s="8" t="n">
        <f aca="false">F76*L76</f>
        <v>96.4</v>
      </c>
    </row>
    <row r="77" customFormat="false" ht="15" hidden="false" customHeight="false" outlineLevel="0" collapsed="false">
      <c r="A77" s="6" t="s">
        <v>105</v>
      </c>
      <c r="B77" s="6" t="n">
        <v>3</v>
      </c>
      <c r="C77" s="6" t="n">
        <v>3</v>
      </c>
      <c r="D77" s="6" t="s">
        <v>31</v>
      </c>
      <c r="E77" s="6" t="s">
        <v>68</v>
      </c>
      <c r="F77" s="7" t="n">
        <v>482</v>
      </c>
      <c r="G77" s="8" t="n">
        <f aca="false">F77/C77</f>
        <v>160.666666666667</v>
      </c>
      <c r="H77" s="8" t="n">
        <f aca="false">IF(B77=1,F77,0)</f>
        <v>0</v>
      </c>
      <c r="I77" s="8" t="n">
        <f aca="false">IF(B77=C77,F77,0)</f>
        <v>482</v>
      </c>
      <c r="J77" s="9" t="n">
        <f aca="false">2^B77</f>
        <v>8</v>
      </c>
      <c r="K77" s="8" t="n">
        <f aca="false">F77*J77/SUMIFS($J$2:$J$108,$A$2:$A$108,A77)</f>
        <v>275.428571428571</v>
      </c>
      <c r="L77" s="10" t="n">
        <f aca="false">IF(C77=1,1,IF(C77=2,0.5,IF(OR(B77=1,B77=C77),0.4,0.2/(C77-2))))</f>
        <v>0.4</v>
      </c>
      <c r="M77" s="8" t="n">
        <f aca="false">F77*L77</f>
        <v>192.8</v>
      </c>
    </row>
    <row r="78" customFormat="false" ht="15" hidden="false" customHeight="false" outlineLevel="0" collapsed="false">
      <c r="A78" s="6" t="s">
        <v>107</v>
      </c>
      <c r="B78" s="6" t="n">
        <v>1</v>
      </c>
      <c r="C78" s="6" t="n">
        <v>2</v>
      </c>
      <c r="D78" s="6" t="s">
        <v>55</v>
      </c>
      <c r="E78" s="6" t="s">
        <v>108</v>
      </c>
      <c r="F78" s="7" t="n">
        <v>152.2</v>
      </c>
      <c r="G78" s="8" t="n">
        <f aca="false">F78/C78</f>
        <v>76.1</v>
      </c>
      <c r="H78" s="8" t="n">
        <f aca="false">IF(B78=1,F78,0)</f>
        <v>152.2</v>
      </c>
      <c r="I78" s="8" t="n">
        <f aca="false">IF(B78=C78,F78,0)</f>
        <v>0</v>
      </c>
      <c r="J78" s="9" t="n">
        <f aca="false">2^B78</f>
        <v>2</v>
      </c>
      <c r="K78" s="8" t="n">
        <f aca="false">F78*J78/SUMIFS($J$2:$J$108,$A$2:$A$108,A78)</f>
        <v>50.7333333333333</v>
      </c>
      <c r="L78" s="10" t="n">
        <f aca="false">IF(C78=1,1,IF(C78=2,0.5,IF(OR(B78=1,B78=C78),0.4,0.2/(C78-2))))</f>
        <v>0.5</v>
      </c>
      <c r="M78" s="8" t="n">
        <f aca="false">F78*L78</f>
        <v>76.1</v>
      </c>
    </row>
    <row r="79" customFormat="false" ht="15" hidden="false" customHeight="false" outlineLevel="0" collapsed="false">
      <c r="A79" s="6" t="s">
        <v>107</v>
      </c>
      <c r="B79" s="6" t="n">
        <v>2</v>
      </c>
      <c r="C79" s="6" t="n">
        <v>2</v>
      </c>
      <c r="D79" s="6" t="s">
        <v>55</v>
      </c>
      <c r="E79" s="6" t="s">
        <v>37</v>
      </c>
      <c r="F79" s="7" t="n">
        <v>152.2</v>
      </c>
      <c r="G79" s="8" t="n">
        <f aca="false">F79/C79</f>
        <v>76.1</v>
      </c>
      <c r="H79" s="8" t="n">
        <f aca="false">IF(B79=1,F79,0)</f>
        <v>0</v>
      </c>
      <c r="I79" s="8" t="n">
        <f aca="false">IF(B79=C79,F79,0)</f>
        <v>152.2</v>
      </c>
      <c r="J79" s="9" t="n">
        <f aca="false">2^B79</f>
        <v>4</v>
      </c>
      <c r="K79" s="8" t="n">
        <f aca="false">F79*J79/SUMIFS($J$2:$J$108,$A$2:$A$108,A79)</f>
        <v>101.466666666667</v>
      </c>
      <c r="L79" s="10" t="n">
        <f aca="false">IF(C79=1,1,IF(C79=2,0.5,IF(OR(B79=1,B79=C79),0.4,0.2/(C79-2))))</f>
        <v>0.5</v>
      </c>
      <c r="M79" s="8" t="n">
        <f aca="false">F79*L79</f>
        <v>76.1</v>
      </c>
    </row>
    <row r="80" customFormat="false" ht="15" hidden="false" customHeight="false" outlineLevel="0" collapsed="false">
      <c r="A80" s="6" t="s">
        <v>109</v>
      </c>
      <c r="B80" s="6" t="n">
        <v>1</v>
      </c>
      <c r="C80" s="6" t="n">
        <v>4</v>
      </c>
      <c r="D80" s="6" t="s">
        <v>55</v>
      </c>
      <c r="E80" s="6" t="s">
        <v>57</v>
      </c>
      <c r="F80" s="7" t="n">
        <v>498.68</v>
      </c>
      <c r="G80" s="8" t="n">
        <f aca="false">F80/C80</f>
        <v>124.67</v>
      </c>
      <c r="H80" s="8" t="n">
        <f aca="false">IF(B80=1,F80,0)</f>
        <v>498.68</v>
      </c>
      <c r="I80" s="8" t="n">
        <f aca="false">IF(B80=C80,F80,0)</f>
        <v>0</v>
      </c>
      <c r="J80" s="9" t="n">
        <f aca="false">2^B80</f>
        <v>2</v>
      </c>
      <c r="K80" s="8" t="n">
        <f aca="false">F80*J80/SUMIFS($J$2:$J$108,$A$2:$A$108,A80)</f>
        <v>33.2453333333333</v>
      </c>
      <c r="L80" s="10" t="n">
        <f aca="false">IF(C80=1,1,IF(C80=2,0.5,IF(OR(B80=1,B80=C80),0.4,0.2/(C80-2))))</f>
        <v>0.4</v>
      </c>
      <c r="M80" s="8" t="n">
        <f aca="false">F80*L80</f>
        <v>199.472</v>
      </c>
    </row>
    <row r="81" customFormat="false" ht="15" hidden="false" customHeight="false" outlineLevel="0" collapsed="false">
      <c r="A81" s="6" t="s">
        <v>109</v>
      </c>
      <c r="B81" s="6" t="n">
        <v>2</v>
      </c>
      <c r="C81" s="6" t="n">
        <v>4</v>
      </c>
      <c r="D81" s="6" t="s">
        <v>41</v>
      </c>
      <c r="E81" s="6" t="s">
        <v>33</v>
      </c>
      <c r="F81" s="7" t="n">
        <v>498.68</v>
      </c>
      <c r="G81" s="8" t="n">
        <f aca="false">F81/C81</f>
        <v>124.67</v>
      </c>
      <c r="H81" s="8" t="n">
        <f aca="false">IF(B81=1,F81,0)</f>
        <v>0</v>
      </c>
      <c r="I81" s="8" t="n">
        <f aca="false">IF(B81=C81,F81,0)</f>
        <v>0</v>
      </c>
      <c r="J81" s="9" t="n">
        <f aca="false">2^B81</f>
        <v>4</v>
      </c>
      <c r="K81" s="8" t="n">
        <f aca="false">F81*J81/SUMIFS($J$2:$J$108,$A$2:$A$108,A81)</f>
        <v>66.4906666666667</v>
      </c>
      <c r="L81" s="10" t="n">
        <f aca="false">IF(C81=1,1,IF(C81=2,0.5,IF(OR(B81=1,B81=C81),0.4,0.2/(C81-2))))</f>
        <v>0.1</v>
      </c>
      <c r="M81" s="8" t="n">
        <f aca="false">F81*L81</f>
        <v>49.868</v>
      </c>
    </row>
    <row r="82" customFormat="false" ht="15" hidden="false" customHeight="false" outlineLevel="0" collapsed="false">
      <c r="A82" s="6" t="s">
        <v>109</v>
      </c>
      <c r="B82" s="6" t="n">
        <v>3</v>
      </c>
      <c r="C82" s="6" t="n">
        <v>4</v>
      </c>
      <c r="D82" s="6" t="s">
        <v>39</v>
      </c>
      <c r="E82" s="6" t="s">
        <v>110</v>
      </c>
      <c r="F82" s="7" t="n">
        <v>498.68</v>
      </c>
      <c r="G82" s="8" t="n">
        <f aca="false">F82/C82</f>
        <v>124.67</v>
      </c>
      <c r="H82" s="8" t="n">
        <f aca="false">IF(B82=1,F82,0)</f>
        <v>0</v>
      </c>
      <c r="I82" s="8" t="n">
        <f aca="false">IF(B82=C82,F82,0)</f>
        <v>0</v>
      </c>
      <c r="J82" s="9" t="n">
        <f aca="false">2^B82</f>
        <v>8</v>
      </c>
      <c r="K82" s="8" t="n">
        <f aca="false">F82*J82/SUMIFS($J$2:$J$108,$A$2:$A$108,A82)</f>
        <v>132.981333333333</v>
      </c>
      <c r="L82" s="10" t="n">
        <f aca="false">IF(C82=1,1,IF(C82=2,0.5,IF(OR(B82=1,B82=C82),0.4,0.2/(C82-2))))</f>
        <v>0.1</v>
      </c>
      <c r="M82" s="8" t="n">
        <f aca="false">F82*L82</f>
        <v>49.868</v>
      </c>
    </row>
    <row r="83" customFormat="false" ht="15" hidden="false" customHeight="false" outlineLevel="0" collapsed="false">
      <c r="A83" s="6" t="s">
        <v>109</v>
      </c>
      <c r="B83" s="6" t="n">
        <v>4</v>
      </c>
      <c r="C83" s="6" t="n">
        <v>4</v>
      </c>
      <c r="D83" s="6" t="s">
        <v>39</v>
      </c>
      <c r="E83" s="6" t="s">
        <v>75</v>
      </c>
      <c r="F83" s="7" t="n">
        <v>498.68</v>
      </c>
      <c r="G83" s="8" t="n">
        <f aca="false">F83/C83</f>
        <v>124.67</v>
      </c>
      <c r="H83" s="8" t="n">
        <f aca="false">IF(B83=1,F83,0)</f>
        <v>0</v>
      </c>
      <c r="I83" s="8" t="n">
        <f aca="false">IF(B83=C83,F83,0)</f>
        <v>498.68</v>
      </c>
      <c r="J83" s="9" t="n">
        <f aca="false">2^B83</f>
        <v>16</v>
      </c>
      <c r="K83" s="8" t="n">
        <f aca="false">F83*J83/SUMIFS($J$2:$J$108,$A$2:$A$108,A83)</f>
        <v>265.962666666667</v>
      </c>
      <c r="L83" s="10" t="n">
        <f aca="false">IF(C83=1,1,IF(C83=2,0.5,IF(OR(B83=1,B83=C83),0.4,0.2/(C83-2))))</f>
        <v>0.4</v>
      </c>
      <c r="M83" s="8" t="n">
        <f aca="false">F83*L83</f>
        <v>199.472</v>
      </c>
    </row>
    <row r="84" customFormat="false" ht="15" hidden="false" customHeight="false" outlineLevel="0" collapsed="false">
      <c r="A84" s="6" t="s">
        <v>111</v>
      </c>
      <c r="B84" s="6" t="n">
        <v>1</v>
      </c>
      <c r="C84" s="6" t="n">
        <v>2</v>
      </c>
      <c r="D84" s="6" t="s">
        <v>31</v>
      </c>
      <c r="E84" s="6" t="s">
        <v>67</v>
      </c>
      <c r="F84" s="7" t="n">
        <v>94.14</v>
      </c>
      <c r="G84" s="8" t="n">
        <f aca="false">F84/C84</f>
        <v>47.07</v>
      </c>
      <c r="H84" s="8" t="n">
        <f aca="false">IF(B84=1,F84,0)</f>
        <v>94.14</v>
      </c>
      <c r="I84" s="8" t="n">
        <f aca="false">IF(B84=C84,F84,0)</f>
        <v>0</v>
      </c>
      <c r="J84" s="9" t="n">
        <f aca="false">2^B84</f>
        <v>2</v>
      </c>
      <c r="K84" s="8" t="n">
        <f aca="false">F84*J84/SUMIFS($J$2:$J$108,$A$2:$A$108,A84)</f>
        <v>31.38</v>
      </c>
      <c r="L84" s="10" t="n">
        <f aca="false">IF(C84=1,1,IF(C84=2,0.5,IF(OR(B84=1,B84=C84),0.4,0.2/(C84-2))))</f>
        <v>0.5</v>
      </c>
      <c r="M84" s="8" t="n">
        <f aca="false">F84*L84</f>
        <v>47.07</v>
      </c>
    </row>
    <row r="85" customFormat="false" ht="15" hidden="false" customHeight="false" outlineLevel="0" collapsed="false">
      <c r="A85" s="6" t="s">
        <v>111</v>
      </c>
      <c r="B85" s="6" t="n">
        <v>2</v>
      </c>
      <c r="C85" s="6" t="n">
        <v>2</v>
      </c>
      <c r="D85" s="6" t="s">
        <v>39</v>
      </c>
      <c r="E85" s="6" t="s">
        <v>112</v>
      </c>
      <c r="F85" s="7" t="n">
        <v>94.14</v>
      </c>
      <c r="G85" s="8" t="n">
        <f aca="false">F85/C85</f>
        <v>47.07</v>
      </c>
      <c r="H85" s="8" t="n">
        <f aca="false">IF(B85=1,F85,0)</f>
        <v>0</v>
      </c>
      <c r="I85" s="8" t="n">
        <f aca="false">IF(B85=C85,F85,0)</f>
        <v>94.14</v>
      </c>
      <c r="J85" s="9" t="n">
        <f aca="false">2^B85</f>
        <v>4</v>
      </c>
      <c r="K85" s="8" t="n">
        <f aca="false">F85*J85/SUMIFS($J$2:$J$108,$A$2:$A$108,A85)</f>
        <v>62.76</v>
      </c>
      <c r="L85" s="10" t="n">
        <f aca="false">IF(C85=1,1,IF(C85=2,0.5,IF(OR(B85=1,B85=C85),0.4,0.2/(C85-2))))</f>
        <v>0.5</v>
      </c>
      <c r="M85" s="8" t="n">
        <f aca="false">F85*L85</f>
        <v>47.07</v>
      </c>
    </row>
    <row r="86" customFormat="false" ht="15" hidden="false" customHeight="false" outlineLevel="0" collapsed="false">
      <c r="A86" s="6" t="s">
        <v>113</v>
      </c>
      <c r="B86" s="6" t="n">
        <v>1</v>
      </c>
      <c r="C86" s="6" t="n">
        <v>3</v>
      </c>
      <c r="D86" s="6" t="s">
        <v>41</v>
      </c>
      <c r="E86" s="6" t="s">
        <v>45</v>
      </c>
      <c r="F86" s="7" t="n">
        <v>598.04</v>
      </c>
      <c r="G86" s="8" t="n">
        <f aca="false">F86/C86</f>
        <v>199.346666666667</v>
      </c>
      <c r="H86" s="8" t="n">
        <f aca="false">IF(B86=1,F86,0)</f>
        <v>598.04</v>
      </c>
      <c r="I86" s="8" t="n">
        <f aca="false">IF(B86=C86,F86,0)</f>
        <v>0</v>
      </c>
      <c r="J86" s="9" t="n">
        <f aca="false">2^B86</f>
        <v>2</v>
      </c>
      <c r="K86" s="8" t="n">
        <f aca="false">F86*J86/SUMIFS($J$2:$J$108,$A$2:$A$108,A86)</f>
        <v>85.4342857142857</v>
      </c>
      <c r="L86" s="10" t="n">
        <f aca="false">IF(C86=1,1,IF(C86=2,0.5,IF(OR(B86=1,B86=C86),0.4,0.2/(C86-2))))</f>
        <v>0.4</v>
      </c>
      <c r="M86" s="8" t="n">
        <f aca="false">F86*L86</f>
        <v>239.216</v>
      </c>
    </row>
    <row r="87" customFormat="false" ht="15" hidden="false" customHeight="false" outlineLevel="0" collapsed="false">
      <c r="A87" s="6" t="s">
        <v>113</v>
      </c>
      <c r="B87" s="6" t="n">
        <v>2</v>
      </c>
      <c r="C87" s="6" t="n">
        <v>3</v>
      </c>
      <c r="D87" s="6" t="s">
        <v>55</v>
      </c>
      <c r="E87" s="6" t="s">
        <v>47</v>
      </c>
      <c r="F87" s="7" t="n">
        <v>598.04</v>
      </c>
      <c r="G87" s="8" t="n">
        <f aca="false">F87/C87</f>
        <v>199.346666666667</v>
      </c>
      <c r="H87" s="8" t="n">
        <f aca="false">IF(B87=1,F87,0)</f>
        <v>0</v>
      </c>
      <c r="I87" s="8" t="n">
        <f aca="false">IF(B87=C87,F87,0)</f>
        <v>0</v>
      </c>
      <c r="J87" s="9" t="n">
        <f aca="false">2^B87</f>
        <v>4</v>
      </c>
      <c r="K87" s="8" t="n">
        <f aca="false">F87*J87/SUMIFS($J$2:$J$108,$A$2:$A$108,A87)</f>
        <v>170.868571428571</v>
      </c>
      <c r="L87" s="10" t="n">
        <f aca="false">IF(C87=1,1,IF(C87=2,0.5,IF(OR(B87=1,B87=C87),0.4,0.2/(C87-2))))</f>
        <v>0.2</v>
      </c>
      <c r="M87" s="8" t="n">
        <f aca="false">F87*L87</f>
        <v>119.608</v>
      </c>
    </row>
    <row r="88" customFormat="false" ht="15" hidden="false" customHeight="false" outlineLevel="0" collapsed="false">
      <c r="A88" s="6" t="s">
        <v>113</v>
      </c>
      <c r="B88" s="6" t="n">
        <v>3</v>
      </c>
      <c r="C88" s="6" t="n">
        <v>3</v>
      </c>
      <c r="D88" s="6" t="s">
        <v>31</v>
      </c>
      <c r="E88" s="6" t="s">
        <v>97</v>
      </c>
      <c r="F88" s="7" t="n">
        <v>598.04</v>
      </c>
      <c r="G88" s="8" t="n">
        <f aca="false">F88/C88</f>
        <v>199.346666666667</v>
      </c>
      <c r="H88" s="8" t="n">
        <f aca="false">IF(B88=1,F88,0)</f>
        <v>0</v>
      </c>
      <c r="I88" s="8" t="n">
        <f aca="false">IF(B88=C88,F88,0)</f>
        <v>598.04</v>
      </c>
      <c r="J88" s="9" t="n">
        <f aca="false">2^B88</f>
        <v>8</v>
      </c>
      <c r="K88" s="8" t="n">
        <f aca="false">F88*J88/SUMIFS($J$2:$J$108,$A$2:$A$108,A88)</f>
        <v>341.737142857143</v>
      </c>
      <c r="L88" s="10" t="n">
        <f aca="false">IF(C88=1,1,IF(C88=2,0.5,IF(OR(B88=1,B88=C88),0.4,0.2/(C88-2))))</f>
        <v>0.4</v>
      </c>
      <c r="M88" s="8" t="n">
        <f aca="false">F88*L88</f>
        <v>239.216</v>
      </c>
    </row>
    <row r="89" customFormat="false" ht="15" hidden="false" customHeight="false" outlineLevel="0" collapsed="false">
      <c r="A89" s="6" t="s">
        <v>114</v>
      </c>
      <c r="B89" s="6" t="n">
        <v>1</v>
      </c>
      <c r="C89" s="6" t="n">
        <v>1</v>
      </c>
      <c r="D89" s="6" t="s">
        <v>55</v>
      </c>
      <c r="E89" s="6" t="s">
        <v>84</v>
      </c>
      <c r="F89" s="7" t="n">
        <v>286.11</v>
      </c>
      <c r="G89" s="8" t="n">
        <f aca="false">F89/C89</f>
        <v>286.11</v>
      </c>
      <c r="H89" s="8" t="n">
        <f aca="false">IF(B89=1,F89,0)</f>
        <v>286.11</v>
      </c>
      <c r="I89" s="8" t="n">
        <f aca="false">IF(B89=C89,F89,0)</f>
        <v>286.11</v>
      </c>
      <c r="J89" s="9" t="n">
        <f aca="false">2^B89</f>
        <v>2</v>
      </c>
      <c r="K89" s="8" t="n">
        <f aca="false">F89*J89/SUMIFS($J$2:$J$108,$A$2:$A$108,A89)</f>
        <v>286.11</v>
      </c>
      <c r="L89" s="10" t="n">
        <f aca="false">IF(C89=1,1,IF(C89=2,0.5,IF(OR(B89=1,B89=C89),0.4,0.2/(C89-2))))</f>
        <v>1</v>
      </c>
      <c r="M89" s="8" t="n">
        <f aca="false">F89*L89</f>
        <v>286.11</v>
      </c>
    </row>
    <row r="90" customFormat="false" ht="15" hidden="false" customHeight="false" outlineLevel="0" collapsed="false">
      <c r="A90" s="6" t="s">
        <v>115</v>
      </c>
      <c r="B90" s="6" t="n">
        <v>1</v>
      </c>
      <c r="C90" s="6" t="n">
        <v>2</v>
      </c>
      <c r="D90" s="6" t="s">
        <v>53</v>
      </c>
      <c r="E90" s="6" t="s">
        <v>54</v>
      </c>
      <c r="F90" s="7" t="n">
        <v>294.77</v>
      </c>
      <c r="G90" s="8" t="n">
        <f aca="false">F90/C90</f>
        <v>147.385</v>
      </c>
      <c r="H90" s="8" t="n">
        <f aca="false">IF(B90=1,F90,0)</f>
        <v>294.77</v>
      </c>
      <c r="I90" s="8" t="n">
        <f aca="false">IF(B90=C90,F90,0)</f>
        <v>0</v>
      </c>
      <c r="J90" s="9" t="n">
        <f aca="false">2^B90</f>
        <v>2</v>
      </c>
      <c r="K90" s="8" t="n">
        <f aca="false">F90*J90/SUMIFS($J$2:$J$108,$A$2:$A$108,A90)</f>
        <v>98.2566666666667</v>
      </c>
      <c r="L90" s="10" t="n">
        <f aca="false">IF(C90=1,1,IF(C90=2,0.5,IF(OR(B90=1,B90=C90),0.4,0.2/(C90-2))))</f>
        <v>0.5</v>
      </c>
      <c r="M90" s="8" t="n">
        <f aca="false">F90*L90</f>
        <v>147.385</v>
      </c>
    </row>
    <row r="91" customFormat="false" ht="15" hidden="false" customHeight="false" outlineLevel="0" collapsed="false">
      <c r="A91" s="6" t="s">
        <v>115</v>
      </c>
      <c r="B91" s="6" t="n">
        <v>2</v>
      </c>
      <c r="C91" s="6" t="n">
        <v>2</v>
      </c>
      <c r="D91" s="6" t="s">
        <v>53</v>
      </c>
      <c r="E91" s="6" t="s">
        <v>57</v>
      </c>
      <c r="F91" s="7" t="n">
        <v>294.77</v>
      </c>
      <c r="G91" s="8" t="n">
        <f aca="false">F91/C91</f>
        <v>147.385</v>
      </c>
      <c r="H91" s="8" t="n">
        <f aca="false">IF(B91=1,F91,0)</f>
        <v>0</v>
      </c>
      <c r="I91" s="8" t="n">
        <f aca="false">IF(B91=C91,F91,0)</f>
        <v>294.77</v>
      </c>
      <c r="J91" s="9" t="n">
        <f aca="false">2^B91</f>
        <v>4</v>
      </c>
      <c r="K91" s="8" t="n">
        <f aca="false">F91*J91/SUMIFS($J$2:$J$108,$A$2:$A$108,A91)</f>
        <v>196.513333333333</v>
      </c>
      <c r="L91" s="10" t="n">
        <f aca="false">IF(C91=1,1,IF(C91=2,0.5,IF(OR(B91=1,B91=C91),0.4,0.2/(C91-2))))</f>
        <v>0.5</v>
      </c>
      <c r="M91" s="8" t="n">
        <f aca="false">F91*L91</f>
        <v>147.385</v>
      </c>
    </row>
    <row r="92" customFormat="false" ht="15" hidden="false" customHeight="false" outlineLevel="0" collapsed="false">
      <c r="A92" s="6" t="s">
        <v>116</v>
      </c>
      <c r="B92" s="6" t="n">
        <v>1</v>
      </c>
      <c r="C92" s="6" t="n">
        <v>2</v>
      </c>
      <c r="D92" s="6" t="s">
        <v>31</v>
      </c>
      <c r="E92" s="6" t="s">
        <v>117</v>
      </c>
      <c r="F92" s="7" t="n">
        <v>235.94</v>
      </c>
      <c r="G92" s="8" t="n">
        <f aca="false">F92/C92</f>
        <v>117.97</v>
      </c>
      <c r="H92" s="8" t="n">
        <f aca="false">IF(B92=1,F92,0)</f>
        <v>235.94</v>
      </c>
      <c r="I92" s="8" t="n">
        <f aca="false">IF(B92=C92,F92,0)</f>
        <v>0</v>
      </c>
      <c r="J92" s="9" t="n">
        <f aca="false">2^B92</f>
        <v>2</v>
      </c>
      <c r="K92" s="8" t="n">
        <f aca="false">F92*J92/SUMIFS($J$2:$J$108,$A$2:$A$108,A92)</f>
        <v>78.6466666666667</v>
      </c>
      <c r="L92" s="10" t="n">
        <f aca="false">IF(C92=1,1,IF(C92=2,0.5,IF(OR(B92=1,B92=C92),0.4,0.2/(C92-2))))</f>
        <v>0.5</v>
      </c>
      <c r="M92" s="8" t="n">
        <f aca="false">F92*L92</f>
        <v>117.97</v>
      </c>
    </row>
    <row r="93" customFormat="false" ht="15" hidden="false" customHeight="false" outlineLevel="0" collapsed="false">
      <c r="A93" s="6" t="s">
        <v>116</v>
      </c>
      <c r="B93" s="6" t="n">
        <v>2</v>
      </c>
      <c r="C93" s="6" t="n">
        <v>2</v>
      </c>
      <c r="D93" s="6" t="s">
        <v>39</v>
      </c>
      <c r="E93" s="6" t="s">
        <v>118</v>
      </c>
      <c r="F93" s="7" t="n">
        <v>235.94</v>
      </c>
      <c r="G93" s="8" t="n">
        <f aca="false">F93/C93</f>
        <v>117.97</v>
      </c>
      <c r="H93" s="8" t="n">
        <f aca="false">IF(B93=1,F93,0)</f>
        <v>0</v>
      </c>
      <c r="I93" s="8" t="n">
        <f aca="false">IF(B93=C93,F93,0)</f>
        <v>235.94</v>
      </c>
      <c r="J93" s="9" t="n">
        <f aca="false">2^B93</f>
        <v>4</v>
      </c>
      <c r="K93" s="8" t="n">
        <f aca="false">F93*J93/SUMIFS($J$2:$J$108,$A$2:$A$108,A93)</f>
        <v>157.293333333333</v>
      </c>
      <c r="L93" s="10" t="n">
        <f aca="false">IF(C93=1,1,IF(C93=2,0.5,IF(OR(B93=1,B93=C93),0.4,0.2/(C93-2))))</f>
        <v>0.5</v>
      </c>
      <c r="M93" s="8" t="n">
        <f aca="false">F93*L93</f>
        <v>117.97</v>
      </c>
    </row>
    <row r="94" customFormat="false" ht="15" hidden="false" customHeight="false" outlineLevel="0" collapsed="false">
      <c r="A94" s="6" t="s">
        <v>119</v>
      </c>
      <c r="B94" s="6" t="n">
        <v>1</v>
      </c>
      <c r="C94" s="6" t="n">
        <v>3</v>
      </c>
      <c r="D94" s="6" t="s">
        <v>41</v>
      </c>
      <c r="E94" s="6" t="s">
        <v>49</v>
      </c>
      <c r="F94" s="7" t="n">
        <v>100.62</v>
      </c>
      <c r="G94" s="8" t="n">
        <f aca="false">F94/C94</f>
        <v>33.54</v>
      </c>
      <c r="H94" s="8" t="n">
        <f aca="false">IF(B94=1,F94,0)</f>
        <v>100.62</v>
      </c>
      <c r="I94" s="8" t="n">
        <f aca="false">IF(B94=C94,F94,0)</f>
        <v>0</v>
      </c>
      <c r="J94" s="9" t="n">
        <f aca="false">2^B94</f>
        <v>2</v>
      </c>
      <c r="K94" s="8" t="n">
        <f aca="false">F94*J94/SUMIFS($J$2:$J$108,$A$2:$A$108,A94)</f>
        <v>14.3742857142857</v>
      </c>
      <c r="L94" s="10" t="n">
        <f aca="false">IF(C94=1,1,IF(C94=2,0.5,IF(OR(B94=1,B94=C94),0.4,0.2/(C94-2))))</f>
        <v>0.4</v>
      </c>
      <c r="M94" s="8" t="n">
        <f aca="false">F94*L94</f>
        <v>40.248</v>
      </c>
    </row>
    <row r="95" customFormat="false" ht="15" hidden="false" customHeight="false" outlineLevel="0" collapsed="false">
      <c r="A95" s="6" t="s">
        <v>119</v>
      </c>
      <c r="B95" s="6" t="n">
        <v>2</v>
      </c>
      <c r="C95" s="6" t="n">
        <v>3</v>
      </c>
      <c r="D95" s="6" t="s">
        <v>41</v>
      </c>
      <c r="E95" s="6" t="s">
        <v>120</v>
      </c>
      <c r="F95" s="7" t="n">
        <v>100.62</v>
      </c>
      <c r="G95" s="8" t="n">
        <f aca="false">F95/C95</f>
        <v>33.54</v>
      </c>
      <c r="H95" s="8" t="n">
        <f aca="false">IF(B95=1,F95,0)</f>
        <v>0</v>
      </c>
      <c r="I95" s="8" t="n">
        <f aca="false">IF(B95=C95,F95,0)</f>
        <v>0</v>
      </c>
      <c r="J95" s="9" t="n">
        <f aca="false">2^B95</f>
        <v>4</v>
      </c>
      <c r="K95" s="8" t="n">
        <f aca="false">F95*J95/SUMIFS($J$2:$J$108,$A$2:$A$108,A95)</f>
        <v>28.7485714285714</v>
      </c>
      <c r="L95" s="10" t="n">
        <f aca="false">IF(C95=1,1,IF(C95=2,0.5,IF(OR(B95=1,B95=C95),0.4,0.2/(C95-2))))</f>
        <v>0.2</v>
      </c>
      <c r="M95" s="8" t="n">
        <f aca="false">F95*L95</f>
        <v>20.124</v>
      </c>
    </row>
    <row r="96" customFormat="false" ht="15" hidden="false" customHeight="false" outlineLevel="0" collapsed="false">
      <c r="A96" s="6" t="s">
        <v>119</v>
      </c>
      <c r="B96" s="6" t="n">
        <v>3</v>
      </c>
      <c r="C96" s="6" t="n">
        <v>3</v>
      </c>
      <c r="D96" s="6" t="s">
        <v>39</v>
      </c>
      <c r="E96" s="6" t="s">
        <v>59</v>
      </c>
      <c r="F96" s="7" t="n">
        <v>100.62</v>
      </c>
      <c r="G96" s="8" t="n">
        <f aca="false">F96/C96</f>
        <v>33.54</v>
      </c>
      <c r="H96" s="8" t="n">
        <f aca="false">IF(B96=1,F96,0)</f>
        <v>0</v>
      </c>
      <c r="I96" s="8" t="n">
        <f aca="false">IF(B96=C96,F96,0)</f>
        <v>100.62</v>
      </c>
      <c r="J96" s="9" t="n">
        <f aca="false">2^B96</f>
        <v>8</v>
      </c>
      <c r="K96" s="8" t="n">
        <f aca="false">F96*J96/SUMIFS($J$2:$J$108,$A$2:$A$108,A96)</f>
        <v>57.4971428571429</v>
      </c>
      <c r="L96" s="10" t="n">
        <f aca="false">IF(C96=1,1,IF(C96=2,0.5,IF(OR(B96=1,B96=C96),0.4,0.2/(C96-2))))</f>
        <v>0.4</v>
      </c>
      <c r="M96" s="8" t="n">
        <f aca="false">F96*L96</f>
        <v>40.248</v>
      </c>
    </row>
    <row r="97" customFormat="false" ht="15" hidden="false" customHeight="false" outlineLevel="0" collapsed="false">
      <c r="A97" s="6" t="s">
        <v>121</v>
      </c>
      <c r="B97" s="6" t="n">
        <v>1</v>
      </c>
      <c r="C97" s="6" t="n">
        <v>1</v>
      </c>
      <c r="D97" s="6" t="s">
        <v>31</v>
      </c>
      <c r="E97" s="6" t="s">
        <v>64</v>
      </c>
      <c r="F97" s="7" t="n">
        <v>208.51</v>
      </c>
      <c r="G97" s="8" t="n">
        <f aca="false">F97/C97</f>
        <v>208.51</v>
      </c>
      <c r="H97" s="8" t="n">
        <f aca="false">IF(B97=1,F97,0)</f>
        <v>208.51</v>
      </c>
      <c r="I97" s="8" t="n">
        <f aca="false">IF(B97=C97,F97,0)</f>
        <v>208.51</v>
      </c>
      <c r="J97" s="9" t="n">
        <f aca="false">2^B97</f>
        <v>2</v>
      </c>
      <c r="K97" s="8" t="n">
        <f aca="false">F97*J97/SUMIFS($J$2:$J$108,$A$2:$A$108,A97)</f>
        <v>208.51</v>
      </c>
      <c r="L97" s="10" t="n">
        <f aca="false">IF(C97=1,1,IF(C97=2,0.5,IF(OR(B97=1,B97=C97),0.4,0.2/(C97-2))))</f>
        <v>1</v>
      </c>
      <c r="M97" s="8" t="n">
        <f aca="false">F97*L97</f>
        <v>208.51</v>
      </c>
    </row>
    <row r="98" customFormat="false" ht="15" hidden="false" customHeight="false" outlineLevel="0" collapsed="false">
      <c r="A98" s="6" t="s">
        <v>122</v>
      </c>
      <c r="B98" s="6" t="n">
        <v>1</v>
      </c>
      <c r="C98" s="6" t="n">
        <v>4</v>
      </c>
      <c r="D98" s="6" t="s">
        <v>55</v>
      </c>
      <c r="E98" s="6" t="s">
        <v>123</v>
      </c>
      <c r="F98" s="7" t="n">
        <v>453.98</v>
      </c>
      <c r="G98" s="8" t="n">
        <f aca="false">F98/C98</f>
        <v>113.495</v>
      </c>
      <c r="H98" s="8" t="n">
        <f aca="false">IF(B98=1,F98,0)</f>
        <v>453.98</v>
      </c>
      <c r="I98" s="8" t="n">
        <f aca="false">IF(B98=C98,F98,0)</f>
        <v>0</v>
      </c>
      <c r="J98" s="9" t="n">
        <f aca="false">2^B98</f>
        <v>2</v>
      </c>
      <c r="K98" s="8" t="n">
        <f aca="false">F98*J98/SUMIFS($J$2:$J$108,$A$2:$A$108,A98)</f>
        <v>30.2653333333333</v>
      </c>
      <c r="L98" s="10" t="n">
        <f aca="false">IF(C98=1,1,IF(C98=2,0.5,IF(OR(B98=1,B98=C98),0.4,0.2/(C98-2))))</f>
        <v>0.4</v>
      </c>
      <c r="M98" s="8" t="n">
        <f aca="false">F98*L98</f>
        <v>181.592</v>
      </c>
    </row>
    <row r="99" customFormat="false" ht="15" hidden="false" customHeight="false" outlineLevel="0" collapsed="false">
      <c r="A99" s="6" t="s">
        <v>122</v>
      </c>
      <c r="B99" s="6" t="n">
        <v>2</v>
      </c>
      <c r="C99" s="6" t="n">
        <v>4</v>
      </c>
      <c r="D99" s="6" t="s">
        <v>41</v>
      </c>
      <c r="E99" s="6" t="s">
        <v>124</v>
      </c>
      <c r="F99" s="7" t="n">
        <v>453.98</v>
      </c>
      <c r="G99" s="8" t="n">
        <f aca="false">F99/C99</f>
        <v>113.495</v>
      </c>
      <c r="H99" s="8" t="n">
        <f aca="false">IF(B99=1,F99,0)</f>
        <v>0</v>
      </c>
      <c r="I99" s="8" t="n">
        <f aca="false">IF(B99=C99,F99,0)</f>
        <v>0</v>
      </c>
      <c r="J99" s="9" t="n">
        <f aca="false">2^B99</f>
        <v>4</v>
      </c>
      <c r="K99" s="8" t="n">
        <f aca="false">F99*J99/SUMIFS($J$2:$J$108,$A$2:$A$108,A99)</f>
        <v>60.5306666666667</v>
      </c>
      <c r="L99" s="10" t="n">
        <f aca="false">IF(C99=1,1,IF(C99=2,0.5,IF(OR(B99=1,B99=C99),0.4,0.2/(C99-2))))</f>
        <v>0.1</v>
      </c>
      <c r="M99" s="8" t="n">
        <f aca="false">F99*L99</f>
        <v>45.398</v>
      </c>
    </row>
    <row r="100" customFormat="false" ht="15" hidden="false" customHeight="false" outlineLevel="0" collapsed="false">
      <c r="A100" s="6" t="s">
        <v>122</v>
      </c>
      <c r="B100" s="6" t="n">
        <v>3</v>
      </c>
      <c r="C100" s="6" t="n">
        <v>4</v>
      </c>
      <c r="D100" s="6" t="s">
        <v>31</v>
      </c>
      <c r="E100" s="6" t="s">
        <v>78</v>
      </c>
      <c r="F100" s="7" t="n">
        <v>453.98</v>
      </c>
      <c r="G100" s="8" t="n">
        <f aca="false">F100/C100</f>
        <v>113.495</v>
      </c>
      <c r="H100" s="8" t="n">
        <f aca="false">IF(B100=1,F100,0)</f>
        <v>0</v>
      </c>
      <c r="I100" s="8" t="n">
        <f aca="false">IF(B100=C100,F100,0)</f>
        <v>0</v>
      </c>
      <c r="J100" s="9" t="n">
        <f aca="false">2^B100</f>
        <v>8</v>
      </c>
      <c r="K100" s="8" t="n">
        <f aca="false">F100*J100/SUMIFS($J$2:$J$108,$A$2:$A$108,A100)</f>
        <v>121.061333333333</v>
      </c>
      <c r="L100" s="10" t="n">
        <f aca="false">IF(C100=1,1,IF(C100=2,0.5,IF(OR(B100=1,B100=C100),0.4,0.2/(C100-2))))</f>
        <v>0.1</v>
      </c>
      <c r="M100" s="8" t="n">
        <f aca="false">F100*L100</f>
        <v>45.398</v>
      </c>
    </row>
    <row r="101" customFormat="false" ht="15" hidden="false" customHeight="false" outlineLevel="0" collapsed="false">
      <c r="A101" s="6" t="s">
        <v>122</v>
      </c>
      <c r="B101" s="6" t="n">
        <v>4</v>
      </c>
      <c r="C101" s="6" t="n">
        <v>4</v>
      </c>
      <c r="D101" s="6" t="s">
        <v>55</v>
      </c>
      <c r="E101" s="6" t="s">
        <v>77</v>
      </c>
      <c r="F101" s="7" t="n">
        <v>453.98</v>
      </c>
      <c r="G101" s="8" t="n">
        <f aca="false">F101/C101</f>
        <v>113.495</v>
      </c>
      <c r="H101" s="8" t="n">
        <f aca="false">IF(B101=1,F101,0)</f>
        <v>0</v>
      </c>
      <c r="I101" s="8" t="n">
        <f aca="false">IF(B101=C101,F101,0)</f>
        <v>453.98</v>
      </c>
      <c r="J101" s="9" t="n">
        <f aca="false">2^B101</f>
        <v>16</v>
      </c>
      <c r="K101" s="8" t="n">
        <f aca="false">F101*J101/SUMIFS($J$2:$J$108,$A$2:$A$108,A101)</f>
        <v>242.122666666667</v>
      </c>
      <c r="L101" s="10" t="n">
        <f aca="false">IF(C101=1,1,IF(C101=2,0.5,IF(OR(B101=1,B101=C101),0.4,0.2/(C101-2))))</f>
        <v>0.4</v>
      </c>
      <c r="M101" s="8" t="n">
        <f aca="false">F101*L101</f>
        <v>181.592</v>
      </c>
    </row>
    <row r="102" customFormat="false" ht="15" hidden="false" customHeight="false" outlineLevel="0" collapsed="false">
      <c r="A102" s="6" t="s">
        <v>125</v>
      </c>
      <c r="B102" s="6" t="n">
        <v>1</v>
      </c>
      <c r="C102" s="6" t="n">
        <v>4</v>
      </c>
      <c r="D102" s="6" t="s">
        <v>31</v>
      </c>
      <c r="E102" s="6" t="s">
        <v>126</v>
      </c>
      <c r="F102" s="7" t="n">
        <v>475.75</v>
      </c>
      <c r="G102" s="8" t="n">
        <f aca="false">F102/C102</f>
        <v>118.9375</v>
      </c>
      <c r="H102" s="8" t="n">
        <f aca="false">IF(B102=1,F102,0)</f>
        <v>475.75</v>
      </c>
      <c r="I102" s="8" t="n">
        <f aca="false">IF(B102=C102,F102,0)</f>
        <v>0</v>
      </c>
      <c r="J102" s="9" t="n">
        <f aca="false">2^B102</f>
        <v>2</v>
      </c>
      <c r="K102" s="8" t="n">
        <f aca="false">F102*J102/SUMIFS($J$2:$J$108,$A$2:$A$108,A102)</f>
        <v>31.7166666666667</v>
      </c>
      <c r="L102" s="10" t="n">
        <f aca="false">IF(C102=1,1,IF(C102=2,0.5,IF(OR(B102=1,B102=C102),0.4,0.2/(C102-2))))</f>
        <v>0.4</v>
      </c>
      <c r="M102" s="8" t="n">
        <f aca="false">F102*L102</f>
        <v>190.3</v>
      </c>
    </row>
    <row r="103" customFormat="false" ht="15" hidden="false" customHeight="false" outlineLevel="0" collapsed="false">
      <c r="A103" s="6" t="s">
        <v>125</v>
      </c>
      <c r="B103" s="6" t="n">
        <v>2</v>
      </c>
      <c r="C103" s="6" t="n">
        <v>4</v>
      </c>
      <c r="D103" s="6" t="s">
        <v>55</v>
      </c>
      <c r="E103" s="6" t="s">
        <v>127</v>
      </c>
      <c r="F103" s="7" t="n">
        <v>475.75</v>
      </c>
      <c r="G103" s="8" t="n">
        <f aca="false">F103/C103</f>
        <v>118.9375</v>
      </c>
      <c r="H103" s="8" t="n">
        <f aca="false">IF(B103=1,F103,0)</f>
        <v>0</v>
      </c>
      <c r="I103" s="8" t="n">
        <f aca="false">IF(B103=C103,F103,0)</f>
        <v>0</v>
      </c>
      <c r="J103" s="9" t="n">
        <f aca="false">2^B103</f>
        <v>4</v>
      </c>
      <c r="K103" s="8" t="n">
        <f aca="false">F103*J103/SUMIFS($J$2:$J$108,$A$2:$A$108,A103)</f>
        <v>63.4333333333333</v>
      </c>
      <c r="L103" s="10" t="n">
        <f aca="false">IF(C103=1,1,IF(C103=2,0.5,IF(OR(B103=1,B103=C103),0.4,0.2/(C103-2))))</f>
        <v>0.1</v>
      </c>
      <c r="M103" s="8" t="n">
        <f aca="false">F103*L103</f>
        <v>47.575</v>
      </c>
    </row>
    <row r="104" customFormat="false" ht="15" hidden="false" customHeight="false" outlineLevel="0" collapsed="false">
      <c r="A104" s="6" t="s">
        <v>125</v>
      </c>
      <c r="B104" s="6" t="n">
        <v>3</v>
      </c>
      <c r="C104" s="6" t="n">
        <v>4</v>
      </c>
      <c r="D104" s="6" t="s">
        <v>31</v>
      </c>
      <c r="E104" s="6" t="s">
        <v>106</v>
      </c>
      <c r="F104" s="7" t="n">
        <v>475.75</v>
      </c>
      <c r="G104" s="8" t="n">
        <f aca="false">F104/C104</f>
        <v>118.9375</v>
      </c>
      <c r="H104" s="8" t="n">
        <f aca="false">IF(B104=1,F104,0)</f>
        <v>0</v>
      </c>
      <c r="I104" s="8" t="n">
        <f aca="false">IF(B104=C104,F104,0)</f>
        <v>0</v>
      </c>
      <c r="J104" s="9" t="n">
        <f aca="false">2^B104</f>
        <v>8</v>
      </c>
      <c r="K104" s="8" t="n">
        <f aca="false">F104*J104/SUMIFS($J$2:$J$108,$A$2:$A$108,A104)</f>
        <v>126.866666666667</v>
      </c>
      <c r="L104" s="10" t="n">
        <f aca="false">IF(C104=1,1,IF(C104=2,0.5,IF(OR(B104=1,B104=C104),0.4,0.2/(C104-2))))</f>
        <v>0.1</v>
      </c>
      <c r="M104" s="8" t="n">
        <f aca="false">F104*L104</f>
        <v>47.575</v>
      </c>
    </row>
    <row r="105" customFormat="false" ht="15" hidden="false" customHeight="false" outlineLevel="0" collapsed="false">
      <c r="A105" s="6" t="s">
        <v>125</v>
      </c>
      <c r="B105" s="6" t="n">
        <v>4</v>
      </c>
      <c r="C105" s="6" t="n">
        <v>4</v>
      </c>
      <c r="D105" s="6" t="s">
        <v>55</v>
      </c>
      <c r="E105" s="6" t="s">
        <v>97</v>
      </c>
      <c r="F105" s="7" t="n">
        <v>475.75</v>
      </c>
      <c r="G105" s="8" t="n">
        <f aca="false">F105/C105</f>
        <v>118.9375</v>
      </c>
      <c r="H105" s="8" t="n">
        <f aca="false">IF(B105=1,F105,0)</f>
        <v>0</v>
      </c>
      <c r="I105" s="8" t="n">
        <f aca="false">IF(B105=C105,F105,0)</f>
        <v>475.75</v>
      </c>
      <c r="J105" s="9" t="n">
        <f aca="false">2^B105</f>
        <v>16</v>
      </c>
      <c r="K105" s="8" t="n">
        <f aca="false">F105*J105/SUMIFS($J$2:$J$108,$A$2:$A$108,A105)</f>
        <v>253.733333333333</v>
      </c>
      <c r="L105" s="10" t="n">
        <f aca="false">IF(C105=1,1,IF(C105=2,0.5,IF(OR(B105=1,B105=C105),0.4,0.2/(C105-2))))</f>
        <v>0.4</v>
      </c>
      <c r="M105" s="8" t="n">
        <f aca="false">F105*L105</f>
        <v>190.3</v>
      </c>
    </row>
    <row r="106" customFormat="false" ht="15" hidden="false" customHeight="false" outlineLevel="0" collapsed="false">
      <c r="A106" s="6" t="s">
        <v>128</v>
      </c>
      <c r="B106" s="6" t="n">
        <v>1</v>
      </c>
      <c r="C106" s="6" t="n">
        <v>3</v>
      </c>
      <c r="D106" s="6" t="s">
        <v>31</v>
      </c>
      <c r="E106" s="6" t="s">
        <v>42</v>
      </c>
      <c r="F106" s="7" t="n">
        <v>333.58</v>
      </c>
      <c r="G106" s="8" t="n">
        <f aca="false">F106/C106</f>
        <v>111.193333333333</v>
      </c>
      <c r="H106" s="8" t="n">
        <f aca="false">IF(B106=1,F106,0)</f>
        <v>333.58</v>
      </c>
      <c r="I106" s="8" t="n">
        <f aca="false">IF(B106=C106,F106,0)</f>
        <v>0</v>
      </c>
      <c r="J106" s="9" t="n">
        <f aca="false">2^B106</f>
        <v>2</v>
      </c>
      <c r="K106" s="8" t="n">
        <f aca="false">F106*J106/SUMIFS($J$2:$J$108,$A$2:$A$108,A106)</f>
        <v>47.6542857142857</v>
      </c>
      <c r="L106" s="10" t="n">
        <f aca="false">IF(C106=1,1,IF(C106=2,0.5,IF(OR(B106=1,B106=C106),0.4,0.2/(C106-2))))</f>
        <v>0.4</v>
      </c>
      <c r="M106" s="8" t="n">
        <f aca="false">F106*L106</f>
        <v>133.432</v>
      </c>
    </row>
    <row r="107" customFormat="false" ht="15" hidden="false" customHeight="false" outlineLevel="0" collapsed="false">
      <c r="A107" s="6" t="s">
        <v>128</v>
      </c>
      <c r="B107" s="6" t="n">
        <v>2</v>
      </c>
      <c r="C107" s="6" t="n">
        <v>3</v>
      </c>
      <c r="D107" s="6" t="s">
        <v>53</v>
      </c>
      <c r="E107" s="6" t="s">
        <v>129</v>
      </c>
      <c r="F107" s="7" t="n">
        <v>333.58</v>
      </c>
      <c r="G107" s="8" t="n">
        <f aca="false">F107/C107</f>
        <v>111.193333333333</v>
      </c>
      <c r="H107" s="8" t="n">
        <f aca="false">IF(B107=1,F107,0)</f>
        <v>0</v>
      </c>
      <c r="I107" s="8" t="n">
        <f aca="false">IF(B107=C107,F107,0)</f>
        <v>0</v>
      </c>
      <c r="J107" s="9" t="n">
        <f aca="false">2^B107</f>
        <v>4</v>
      </c>
      <c r="K107" s="8" t="n">
        <f aca="false">F107*J107/SUMIFS($J$2:$J$108,$A$2:$A$108,A107)</f>
        <v>95.3085714285714</v>
      </c>
      <c r="L107" s="10" t="n">
        <f aca="false">IF(C107=1,1,IF(C107=2,0.5,IF(OR(B107=1,B107=C107),0.4,0.2/(C107-2))))</f>
        <v>0.2</v>
      </c>
      <c r="M107" s="8" t="n">
        <f aca="false">F107*L107</f>
        <v>66.716</v>
      </c>
    </row>
    <row r="108" customFormat="false" ht="15" hidden="false" customHeight="false" outlineLevel="0" collapsed="false">
      <c r="A108" s="6" t="s">
        <v>128</v>
      </c>
      <c r="B108" s="6" t="n">
        <v>3</v>
      </c>
      <c r="C108" s="6" t="n">
        <v>3</v>
      </c>
      <c r="D108" s="6" t="s">
        <v>31</v>
      </c>
      <c r="E108" s="6" t="s">
        <v>85</v>
      </c>
      <c r="F108" s="7" t="n">
        <v>333.58</v>
      </c>
      <c r="G108" s="8" t="n">
        <f aca="false">F108/C108</f>
        <v>111.193333333333</v>
      </c>
      <c r="H108" s="8" t="n">
        <f aca="false">IF(B108=1,F108,0)</f>
        <v>0</v>
      </c>
      <c r="I108" s="8" t="n">
        <f aca="false">IF(B108=C108,F108,0)</f>
        <v>333.58</v>
      </c>
      <c r="J108" s="9" t="n">
        <f aca="false">2^B108</f>
        <v>8</v>
      </c>
      <c r="K108" s="8" t="n">
        <f aca="false">F108*J108/SUMIFS($J$2:$J$108,$A$2:$A$108,A108)</f>
        <v>190.617142857143</v>
      </c>
      <c r="L108" s="10" t="n">
        <f aca="false">IF(C108=1,1,IF(C108=2,0.5,IF(OR(B108=1,B108=C108),0.4,0.2/(C108-2))))</f>
        <v>0.4</v>
      </c>
      <c r="M108" s="8" t="n">
        <f aca="false">F108*L108</f>
        <v>133.432</v>
      </c>
    </row>
    <row r="110" customFormat="false" ht="15" hidden="false" customHeight="false" outlineLevel="0" collapsed="false">
      <c r="D110" s="11" t="s">
        <v>130</v>
      </c>
      <c r="G110" s="12" t="n">
        <f aca="false">SUM(G2:G108)</f>
        <v>13877.99</v>
      </c>
      <c r="H110" s="12" t="n">
        <f aca="false">SUM(H2:H108)</f>
        <v>13877.99</v>
      </c>
      <c r="I110" s="12" t="n">
        <f aca="false">SUM(I2:I108)</f>
        <v>13877.99</v>
      </c>
      <c r="K110" s="12" t="n">
        <f aca="false">SUM(K2:K108)</f>
        <v>13877.99</v>
      </c>
      <c r="M110" s="12" t="n">
        <f aca="false">SUM(M2:M108)</f>
        <v>13877.99</v>
      </c>
    </row>
    <row r="111" customFormat="false" ht="15" hidden="false" customHeight="false" outlineLevel="0" collapsed="false">
      <c r="D111" s="1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6" min="5" style="0" width="16"/>
    <col collapsed="false" customWidth="true" hidden="false" outlineLevel="0" max="7" min="7" style="0" width="19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7"/>
    <col collapsed="false" customWidth="true" hidden="false" outlineLevel="0" max="13" min="13" style="0" width="16"/>
    <col collapsed="false" customWidth="true" hidden="false" outlineLevel="0" max="14" min="14" style="0" width="18"/>
  </cols>
  <sheetData>
    <row r="1" customFormat="false" ht="19.7" hidden="false" customHeight="false" outlineLevel="0" collapsed="false">
      <c r="A1" s="14" t="s">
        <v>132</v>
      </c>
    </row>
    <row r="2" customFormat="false" ht="15" hidden="false" customHeight="false" outlineLevel="0" collapsed="false">
      <c r="A2" s="2" t="s">
        <v>133</v>
      </c>
    </row>
    <row r="4" customFormat="false" ht="30" hidden="false" customHeight="true" outlineLevel="0" collapsed="false">
      <c r="A4" s="5" t="s">
        <v>20</v>
      </c>
      <c r="B4" s="5" t="s">
        <v>134</v>
      </c>
      <c r="C4" s="5" t="s">
        <v>135</v>
      </c>
      <c r="D4" s="5" t="s">
        <v>136</v>
      </c>
      <c r="E4" s="5" t="s">
        <v>137</v>
      </c>
      <c r="F4" s="5" t="s">
        <v>138</v>
      </c>
      <c r="G4" s="5" t="s">
        <v>139</v>
      </c>
      <c r="H4" s="5" t="s">
        <v>140</v>
      </c>
      <c r="I4" s="5" t="s">
        <v>141</v>
      </c>
      <c r="J4" s="5" t="s">
        <v>142</v>
      </c>
      <c r="K4" s="5" t="s">
        <v>143</v>
      </c>
      <c r="L4" s="5" t="s">
        <v>144</v>
      </c>
      <c r="M4" s="5" t="s">
        <v>145</v>
      </c>
      <c r="N4" s="5" t="s">
        <v>146</v>
      </c>
    </row>
    <row r="5" customFormat="false" ht="15" hidden="false" customHeight="false" outlineLevel="0" collapsed="false">
      <c r="A5" s="15" t="s">
        <v>31</v>
      </c>
      <c r="B5" s="16" t="n">
        <v>1600</v>
      </c>
      <c r="C5" s="17" t="n">
        <f aca="false">SUMIFS(Raw_Touchpoint_Data!$G$2:$G$108,Raw_Touchpoint_Data!$D$2:$D$108,$A5)</f>
        <v>5141.41916666667</v>
      </c>
      <c r="D5" s="17" t="n">
        <f aca="false">SUMIFS(Raw_Touchpoint_Data!$H$2:$H$108,Raw_Touchpoint_Data!$D$2:$D$108,$A5)</f>
        <v>3860.91</v>
      </c>
      <c r="E5" s="17" t="n">
        <f aca="false">SUMIFS(Raw_Touchpoint_Data!$I$2:$I$108,Raw_Touchpoint_Data!$D$2:$D$108,$A5)</f>
        <v>5532.54</v>
      </c>
      <c r="F5" s="17" t="n">
        <f aca="false">SUMIFS(Raw_Touchpoint_Data!$K$2:$K$108,Raw_Touchpoint_Data!$D$2:$D$108,$A5)</f>
        <v>5464.45590476191</v>
      </c>
      <c r="G5" s="17" t="n">
        <f aca="false">SUMIFS(Raw_Touchpoint_Data!$M$2:$M$108,Raw_Touchpoint_Data!$D$2:$D$108,$A5)</f>
        <v>4880.775</v>
      </c>
      <c r="H5" s="18" t="n">
        <f aca="false">IFERROR(C5/$B5,0)</f>
        <v>3.21338697916667</v>
      </c>
      <c r="I5" s="18" t="n">
        <f aca="false">IFERROR(D5/$B5,0)</f>
        <v>2.41306875</v>
      </c>
      <c r="J5" s="18" t="n">
        <f aca="false">IFERROR(E5/$B5,0)</f>
        <v>3.4578375</v>
      </c>
      <c r="K5" s="18" t="n">
        <f aca="false">IFERROR(F5/$B5,0)</f>
        <v>3.41528494047619</v>
      </c>
      <c r="L5" s="18" t="n">
        <f aca="false">IFERROR(G5/$B5,0)</f>
        <v>3.050484375</v>
      </c>
      <c r="M5" s="18" t="n">
        <f aca="false">I5-J5</f>
        <v>-1.04476875</v>
      </c>
      <c r="N5" s="18" t="n">
        <f aca="false">MAX(H5:L5)-MIN(H5:L5)</f>
        <v>1.04476875</v>
      </c>
    </row>
    <row r="6" customFormat="false" ht="15" hidden="false" customHeight="false" outlineLevel="0" collapsed="false">
      <c r="A6" s="15" t="s">
        <v>41</v>
      </c>
      <c r="B6" s="16" t="n">
        <v>900</v>
      </c>
      <c r="C6" s="17" t="n">
        <f aca="false">SUMIFS(Raw_Touchpoint_Data!$G$2:$G$108,Raw_Touchpoint_Data!$D$2:$D$108,$A6)</f>
        <v>2398.52583333333</v>
      </c>
      <c r="D6" s="17" t="n">
        <f aca="false">SUMIFS(Raw_Touchpoint_Data!$H$2:$H$108,Raw_Touchpoint_Data!$D$2:$D$108,$A6)</f>
        <v>1621.8</v>
      </c>
      <c r="E6" s="17" t="n">
        <f aca="false">SUMIFS(Raw_Touchpoint_Data!$I$2:$I$108,Raw_Touchpoint_Data!$D$2:$D$108,$A6)</f>
        <v>2764.29</v>
      </c>
      <c r="F6" s="17" t="n">
        <f aca="false">SUMIFS(Raw_Touchpoint_Data!$K$2:$K$108,Raw_Touchpoint_Data!$D$2:$D$108,$A6)</f>
        <v>2519.09371428571</v>
      </c>
      <c r="G6" s="17" t="n">
        <f aca="false">SUMIFS(Raw_Touchpoint_Data!$M$2:$M$108,Raw_Touchpoint_Data!$D$2:$D$108,$A6)</f>
        <v>2242.978</v>
      </c>
      <c r="H6" s="18" t="n">
        <f aca="false">IFERROR(C6/$B6,0)</f>
        <v>2.6650287037037</v>
      </c>
      <c r="I6" s="18" t="n">
        <f aca="false">IFERROR(D6/$B6,0)</f>
        <v>1.802</v>
      </c>
      <c r="J6" s="18" t="n">
        <f aca="false">IFERROR(E6/$B6,0)</f>
        <v>3.07143333333333</v>
      </c>
      <c r="K6" s="18" t="n">
        <f aca="false">IFERROR(F6/$B6,0)</f>
        <v>2.79899301587302</v>
      </c>
      <c r="L6" s="18" t="n">
        <f aca="false">IFERROR(G6/$B6,0)</f>
        <v>2.49219777777778</v>
      </c>
      <c r="M6" s="18" t="n">
        <f aca="false">I6-J6</f>
        <v>-1.26943333333333</v>
      </c>
      <c r="N6" s="18" t="n">
        <f aca="false">MAX(H6:L6)-MIN(H6:L6)</f>
        <v>1.26943333333333</v>
      </c>
    </row>
    <row r="7" customFormat="false" ht="15" hidden="false" customHeight="false" outlineLevel="0" collapsed="false">
      <c r="A7" s="15" t="s">
        <v>53</v>
      </c>
      <c r="B7" s="16" t="n">
        <v>700</v>
      </c>
      <c r="C7" s="17" t="n">
        <f aca="false">SUMIFS(Raw_Touchpoint_Data!$G$2:$G$108,Raw_Touchpoint_Data!$D$2:$D$108,$A7)</f>
        <v>1663.04416666667</v>
      </c>
      <c r="D7" s="17" t="n">
        <f aca="false">SUMIFS(Raw_Touchpoint_Data!$H$2:$H$108,Raw_Touchpoint_Data!$D$2:$D$108,$A7)</f>
        <v>2473.33</v>
      </c>
      <c r="E7" s="17" t="n">
        <f aca="false">SUMIFS(Raw_Touchpoint_Data!$I$2:$I$108,Raw_Touchpoint_Data!$D$2:$D$108,$A7)</f>
        <v>1359.49</v>
      </c>
      <c r="F7" s="17" t="n">
        <f aca="false">SUMIFS(Raw_Touchpoint_Data!$K$2:$K$108,Raw_Touchpoint_Data!$D$2:$D$108,$A7)</f>
        <v>1439.64828571429</v>
      </c>
      <c r="G7" s="17" t="n">
        <f aca="false">SUMIFS(Raw_Touchpoint_Data!$M$2:$M$108,Raw_Touchpoint_Data!$D$2:$D$108,$A7)</f>
        <v>1813.071</v>
      </c>
      <c r="H7" s="18" t="n">
        <f aca="false">IFERROR(C7/$B7,0)</f>
        <v>2.37577738095238</v>
      </c>
      <c r="I7" s="18" t="n">
        <f aca="false">IFERROR(D7/$B7,0)</f>
        <v>3.53332857142857</v>
      </c>
      <c r="J7" s="18" t="n">
        <f aca="false">IFERROR(E7/$B7,0)</f>
        <v>1.94212857142857</v>
      </c>
      <c r="K7" s="18" t="n">
        <f aca="false">IFERROR(F7/$B7,0)</f>
        <v>2.05664040816327</v>
      </c>
      <c r="L7" s="18" t="n">
        <f aca="false">IFERROR(G7/$B7,0)</f>
        <v>2.59010142857143</v>
      </c>
      <c r="M7" s="18" t="n">
        <f aca="false">I7-J7</f>
        <v>1.5912</v>
      </c>
      <c r="N7" s="18" t="n">
        <f aca="false">MAX(H7:L7)-MIN(H7:L7)</f>
        <v>1.5912</v>
      </c>
    </row>
    <row r="8" customFormat="false" ht="15" hidden="false" customHeight="false" outlineLevel="0" collapsed="false">
      <c r="A8" s="15" t="s">
        <v>39</v>
      </c>
      <c r="B8" s="16" t="n">
        <v>350</v>
      </c>
      <c r="C8" s="17" t="n">
        <f aca="false">SUMIFS(Raw_Touchpoint_Data!$G$2:$G$108,Raw_Touchpoint_Data!$D$2:$D$108,$A8)</f>
        <v>1765.42333333333</v>
      </c>
      <c r="D8" s="17" t="n">
        <f aca="false">SUMIFS(Raw_Touchpoint_Data!$H$2:$H$108,Raw_Touchpoint_Data!$D$2:$D$108,$A8)</f>
        <v>1456.77</v>
      </c>
      <c r="E8" s="17" t="n">
        <f aca="false">SUMIFS(Raw_Touchpoint_Data!$I$2:$I$108,Raw_Touchpoint_Data!$D$2:$D$108,$A8)</f>
        <v>2096.05</v>
      </c>
      <c r="F8" s="17" t="n">
        <f aca="false">SUMIFS(Raw_Touchpoint_Data!$K$2:$K$108,Raw_Touchpoint_Data!$D$2:$D$108,$A8)</f>
        <v>1950.0920952381</v>
      </c>
      <c r="G8" s="17" t="n">
        <f aca="false">SUMIFS(Raw_Touchpoint_Data!$M$2:$M$108,Raw_Touchpoint_Data!$D$2:$D$108,$A8)</f>
        <v>1781.205</v>
      </c>
      <c r="H8" s="18" t="n">
        <f aca="false">IFERROR(C8/$B8,0)</f>
        <v>5.04406666666667</v>
      </c>
      <c r="I8" s="18" t="n">
        <f aca="false">IFERROR(D8/$B8,0)</f>
        <v>4.1622</v>
      </c>
      <c r="J8" s="18" t="n">
        <f aca="false">IFERROR(E8/$B8,0)</f>
        <v>5.98871428571429</v>
      </c>
      <c r="K8" s="18" t="n">
        <f aca="false">IFERROR(F8/$B8,0)</f>
        <v>5.57169170068027</v>
      </c>
      <c r="L8" s="18" t="n">
        <f aca="false">IFERROR(G8/$B8,0)</f>
        <v>5.08915714285714</v>
      </c>
      <c r="M8" s="18" t="n">
        <f aca="false">I8-J8</f>
        <v>-1.82651428571429</v>
      </c>
      <c r="N8" s="18" t="n">
        <f aca="false">MAX(H8:L8)-MIN(H8:L8)</f>
        <v>1.82651428571429</v>
      </c>
    </row>
    <row r="9" customFormat="false" ht="15" hidden="false" customHeight="false" outlineLevel="0" collapsed="false">
      <c r="A9" s="15" t="s">
        <v>55</v>
      </c>
      <c r="B9" s="16" t="n">
        <v>750</v>
      </c>
      <c r="C9" s="17" t="n">
        <f aca="false">SUMIFS(Raw_Touchpoint_Data!$G$2:$G$108,Raw_Touchpoint_Data!$D$2:$D$108,$A9)</f>
        <v>1932.07916666667</v>
      </c>
      <c r="D9" s="17" t="n">
        <f aca="false">SUMIFS(Raw_Touchpoint_Data!$H$2:$H$108,Raw_Touchpoint_Data!$D$2:$D$108,$A9)</f>
        <v>2341.41</v>
      </c>
      <c r="E9" s="17" t="n">
        <f aca="false">SUMIFS(Raw_Touchpoint_Data!$I$2:$I$108,Raw_Touchpoint_Data!$D$2:$D$108,$A9)</f>
        <v>1877.13</v>
      </c>
      <c r="F9" s="17" t="n">
        <f aca="false">SUMIFS(Raw_Touchpoint_Data!$K$2:$K$108,Raw_Touchpoint_Data!$D$2:$D$108,$A9)</f>
        <v>1860.29685714286</v>
      </c>
      <c r="G9" s="17" t="n">
        <f aca="false">SUMIFS(Raw_Touchpoint_Data!$M$2:$M$108,Raw_Touchpoint_Data!$D$2:$D$108,$A9)</f>
        <v>2074.713</v>
      </c>
      <c r="H9" s="18" t="n">
        <f aca="false">IFERROR(C9/$B9,0)</f>
        <v>2.57610555555556</v>
      </c>
      <c r="I9" s="18" t="n">
        <f aca="false">IFERROR(D9/$B9,0)</f>
        <v>3.12188</v>
      </c>
      <c r="J9" s="18" t="n">
        <f aca="false">IFERROR(E9/$B9,0)</f>
        <v>2.50284</v>
      </c>
      <c r="K9" s="18" t="n">
        <f aca="false">IFERROR(F9/$B9,0)</f>
        <v>2.48039580952381</v>
      </c>
      <c r="L9" s="18" t="n">
        <f aca="false">IFERROR(G9/$B9,0)</f>
        <v>2.766284</v>
      </c>
      <c r="M9" s="18" t="n">
        <f aca="false">I9-J9</f>
        <v>0.61904</v>
      </c>
      <c r="N9" s="18" t="n">
        <f aca="false">MAX(H9:L9)-MIN(H9:L9)</f>
        <v>0.641484190476191</v>
      </c>
    </row>
    <row r="10" customFormat="false" ht="15" hidden="false" customHeight="false" outlineLevel="0" collapsed="false">
      <c r="A10" s="15" t="s">
        <v>46</v>
      </c>
      <c r="B10" s="16" t="n">
        <v>600</v>
      </c>
      <c r="C10" s="17" t="n">
        <f aca="false">SUMIFS(Raw_Touchpoint_Data!$G$2:$G$108,Raw_Touchpoint_Data!$D$2:$D$108,$A10)</f>
        <v>977.498333333333</v>
      </c>
      <c r="D10" s="17" t="n">
        <f aca="false">SUMIFS(Raw_Touchpoint_Data!$H$2:$H$108,Raw_Touchpoint_Data!$D$2:$D$108,$A10)</f>
        <v>2123.77</v>
      </c>
      <c r="E10" s="17" t="n">
        <f aca="false">SUMIFS(Raw_Touchpoint_Data!$I$2:$I$108,Raw_Touchpoint_Data!$D$2:$D$108,$A10)</f>
        <v>248.49</v>
      </c>
      <c r="F10" s="17" t="n">
        <f aca="false">SUMIFS(Raw_Touchpoint_Data!$K$2:$K$108,Raw_Touchpoint_Data!$D$2:$D$108,$A10)</f>
        <v>644.403142857143</v>
      </c>
      <c r="G10" s="17" t="n">
        <f aca="false">SUMIFS(Raw_Touchpoint_Data!$M$2:$M$108,Raw_Touchpoint_Data!$D$2:$D$108,$A10)</f>
        <v>1085.248</v>
      </c>
      <c r="H10" s="18" t="n">
        <f aca="false">IFERROR(C10/$B10,0)</f>
        <v>1.62916388888889</v>
      </c>
      <c r="I10" s="18" t="n">
        <f aca="false">IFERROR(D10/$B10,0)</f>
        <v>3.53961666666667</v>
      </c>
      <c r="J10" s="18" t="n">
        <f aca="false">IFERROR(E10/$B10,0)</f>
        <v>0.41415</v>
      </c>
      <c r="K10" s="18" t="n">
        <f aca="false">IFERROR(F10/$B10,0)</f>
        <v>1.07400523809524</v>
      </c>
      <c r="L10" s="18" t="n">
        <f aca="false">IFERROR(G10/$B10,0)</f>
        <v>1.80874666666667</v>
      </c>
      <c r="M10" s="18" t="n">
        <f aca="false">I10-J10</f>
        <v>3.12546666666667</v>
      </c>
      <c r="N10" s="18" t="n">
        <f aca="false">MAX(H10:L10)-MIN(H10:L10)</f>
        <v>3.12546666666667</v>
      </c>
    </row>
    <row r="11" customFormat="false" ht="15" hidden="false" customHeight="false" outlineLevel="0" collapsed="false">
      <c r="A11" s="19" t="s">
        <v>147</v>
      </c>
      <c r="B11" s="20" t="n">
        <f aca="false">SUM(B5:B10)</f>
        <v>4900</v>
      </c>
      <c r="C11" s="21" t="n">
        <f aca="false">SUM(C5:C10)</f>
        <v>13877.99</v>
      </c>
      <c r="D11" s="21" t="n">
        <f aca="false">SUM(D5:D10)</f>
        <v>13877.99</v>
      </c>
      <c r="E11" s="21" t="n">
        <f aca="false">SUM(E5:E10)</f>
        <v>13877.99</v>
      </c>
      <c r="F11" s="21" t="n">
        <f aca="false">SUM(F5:F10)</f>
        <v>13877.99</v>
      </c>
      <c r="G11" s="21" t="n">
        <f aca="false">SUM(G5:G10)</f>
        <v>13877.99</v>
      </c>
      <c r="H11" s="22" t="n">
        <f aca="false">IFERROR(C11/$B11,0)</f>
        <v>2.83224285714286</v>
      </c>
      <c r="I11" s="22" t="n">
        <f aca="false">IFERROR(D11/$B11,0)</f>
        <v>2.83224285714286</v>
      </c>
      <c r="J11" s="22" t="n">
        <f aca="false">IFERROR(E11/$B11,0)</f>
        <v>2.83224285714286</v>
      </c>
      <c r="K11" s="22" t="n">
        <f aca="false">IFERROR(F11/$B11,0)</f>
        <v>2.83224285714286</v>
      </c>
      <c r="L11" s="22" t="n">
        <f aca="false">IFERROR(G11/$B11,0)</f>
        <v>2.83224285714286</v>
      </c>
    </row>
    <row r="13" customFormat="false" ht="30" hidden="false" customHeight="true" outlineLevel="0" collapsed="false">
      <c r="A13" s="23" t="s">
        <v>148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</sheetData>
  <mergeCells count="1"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6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3"/>
    <col collapsed="false" customWidth="true" hidden="false" outlineLevel="0" max="8" min="8" style="0" width="18"/>
    <col collapsed="false" customWidth="true" hidden="false" outlineLevel="0" max="11" min="9" style="0" width="13"/>
    <col collapsed="false" customWidth="true" hidden="false" outlineLevel="0" max="12" min="12" style="0" width="15"/>
  </cols>
  <sheetData>
    <row r="1" customFormat="false" ht="19.7" hidden="false" customHeight="false" outlineLevel="0" collapsed="false">
      <c r="A1" s="14" t="s">
        <v>149</v>
      </c>
    </row>
    <row r="2" customFormat="false" ht="15" hidden="false" customHeight="false" outlineLevel="0" collapsed="false">
      <c r="A2" s="2" t="s">
        <v>150</v>
      </c>
    </row>
    <row r="4" customFormat="false" ht="15" hidden="false" customHeight="false" outlineLevel="0" collapsed="false">
      <c r="A4" s="24" t="s">
        <v>151</v>
      </c>
      <c r="B4" s="24" t="s">
        <v>152</v>
      </c>
      <c r="C4" s="24" t="s">
        <v>153</v>
      </c>
      <c r="D4" s="24" t="s">
        <v>146</v>
      </c>
    </row>
    <row r="5" customFormat="false" ht="22.05" hidden="false" customHeight="false" outlineLevel="0" collapsed="false">
      <c r="A5" s="25" t="n">
        <f aca="false">Campaign_Summary!B11</f>
        <v>4900</v>
      </c>
      <c r="B5" s="25" t="n">
        <f aca="false">Campaign_Summary!C11</f>
        <v>13877.99</v>
      </c>
      <c r="C5" s="26" t="n">
        <f aca="false">Campaign_Summary!H11</f>
        <v>2.83224285714286</v>
      </c>
      <c r="D5" s="26" t="n">
        <f aca="false">MAX(Campaign_Summary!N5:N10)</f>
        <v>3.12546666666667</v>
      </c>
    </row>
    <row r="7" customFormat="false" ht="15" hidden="false" customHeight="false" outlineLevel="0" collapsed="false">
      <c r="A7" s="27" t="s">
        <v>154</v>
      </c>
      <c r="C7" s="28" t="str">
        <f aca="false">INDEX(Campaign_Summary!A5:A10,MATCH(MAX(Campaign_Summary!H5:H10),Campaign_Summary!H5:H10,0))</f>
        <v>Email</v>
      </c>
    </row>
    <row r="8" customFormat="false" ht="15" hidden="false" customHeight="false" outlineLevel="0" collapsed="false">
      <c r="A8" s="27" t="s">
        <v>155</v>
      </c>
      <c r="C8" s="29" t="str">
        <f aca="false">INDEX(Campaign_Summary!A5:A10,MATCH(MAX(Campaign_Summary!M5:M10),Campaign_Summary!M5:M10,0))</f>
        <v>Influencer</v>
      </c>
    </row>
    <row r="48" customFormat="false" ht="16.15" hidden="false" customHeight="false" outlineLevel="0" collapsed="false">
      <c r="A48" s="30" t="s">
        <v>156</v>
      </c>
    </row>
    <row r="49" customFormat="false" ht="42" hidden="false" customHeight="true" outlineLevel="0" collapsed="false">
      <c r="A49" s="31" t="s">
        <v>157</v>
      </c>
      <c r="B49" s="31"/>
      <c r="C49" s="31"/>
      <c r="D49" s="31"/>
      <c r="E49" s="31"/>
      <c r="F49" s="31"/>
    </row>
    <row r="51" customFormat="false" ht="27.75" hidden="false" customHeight="true" outlineLevel="0" collapsed="false">
      <c r="A51" s="5" t="s">
        <v>20</v>
      </c>
      <c r="B51" s="5" t="s">
        <v>158</v>
      </c>
      <c r="C51" s="5" t="s">
        <v>159</v>
      </c>
      <c r="D51" s="5" t="s">
        <v>160</v>
      </c>
      <c r="E51" s="5" t="s">
        <v>161</v>
      </c>
      <c r="F51" s="5" t="s">
        <v>162</v>
      </c>
    </row>
    <row r="52" customFormat="false" ht="15" hidden="false" customHeight="false" outlineLevel="0" collapsed="false">
      <c r="A52" s="6" t="str">
        <f aca="false">Campaign_Summary!A5</f>
        <v>Paid Search</v>
      </c>
      <c r="B52" s="32" t="n">
        <f aca="false">Campaign_Summary!B5</f>
        <v>1600</v>
      </c>
      <c r="C52" s="18" t="n">
        <f aca="false">Campaign_Summary!H5</f>
        <v>3.21338697916667</v>
      </c>
      <c r="D52" s="33" t="n">
        <v>0.15</v>
      </c>
      <c r="E52" s="32" t="n">
        <f aca="false">B52*(1+D52)</f>
        <v>1840</v>
      </c>
      <c r="F52" s="32" t="n">
        <f aca="false">E52*C52</f>
        <v>5912.63204166667</v>
      </c>
    </row>
    <row r="53" customFormat="false" ht="15" hidden="false" customHeight="false" outlineLevel="0" collapsed="false">
      <c r="A53" s="6" t="str">
        <f aca="false">Campaign_Summary!A6</f>
        <v>Paid Social</v>
      </c>
      <c r="B53" s="32" t="n">
        <f aca="false">Campaign_Summary!B6</f>
        <v>900</v>
      </c>
      <c r="C53" s="18" t="n">
        <f aca="false">Campaign_Summary!H6</f>
        <v>2.6650287037037</v>
      </c>
      <c r="D53" s="33" t="n">
        <v>0.05</v>
      </c>
      <c r="E53" s="32" t="n">
        <f aca="false">B53*(1+D53)</f>
        <v>945</v>
      </c>
      <c r="F53" s="32" t="n">
        <f aca="false">E53*C53</f>
        <v>2518.452125</v>
      </c>
    </row>
    <row r="54" customFormat="false" ht="15" hidden="false" customHeight="false" outlineLevel="0" collapsed="false">
      <c r="A54" s="6" t="str">
        <f aca="false">Campaign_Summary!A7</f>
        <v>Display</v>
      </c>
      <c r="B54" s="32" t="n">
        <f aca="false">Campaign_Summary!B7</f>
        <v>700</v>
      </c>
      <c r="C54" s="18" t="n">
        <f aca="false">Campaign_Summary!H7</f>
        <v>2.37577738095238</v>
      </c>
      <c r="D54" s="33" t="n">
        <v>-0.2</v>
      </c>
      <c r="E54" s="32" t="n">
        <f aca="false">B54*(1+D54)</f>
        <v>560</v>
      </c>
      <c r="F54" s="32" t="n">
        <f aca="false">E54*C54</f>
        <v>1330.43533333333</v>
      </c>
    </row>
    <row r="55" customFormat="false" ht="15" hidden="false" customHeight="false" outlineLevel="0" collapsed="false">
      <c r="A55" s="6" t="str">
        <f aca="false">Campaign_Summary!A8</f>
        <v>Email</v>
      </c>
      <c r="B55" s="32" t="n">
        <f aca="false">Campaign_Summary!B8</f>
        <v>350</v>
      </c>
      <c r="C55" s="18" t="n">
        <f aca="false">Campaign_Summary!H8</f>
        <v>5.04406666666667</v>
      </c>
      <c r="D55" s="33" t="n">
        <v>0.3</v>
      </c>
      <c r="E55" s="32" t="n">
        <f aca="false">B55*(1+D55)</f>
        <v>455</v>
      </c>
      <c r="F55" s="32" t="n">
        <f aca="false">E55*C55</f>
        <v>2295.05033333333</v>
      </c>
    </row>
    <row r="56" customFormat="false" ht="15" hidden="false" customHeight="false" outlineLevel="0" collapsed="false">
      <c r="A56" s="6" t="str">
        <f aca="false">Campaign_Summary!A9</f>
        <v>Video</v>
      </c>
      <c r="B56" s="32" t="n">
        <f aca="false">Campaign_Summary!B9</f>
        <v>750</v>
      </c>
      <c r="C56" s="18" t="n">
        <f aca="false">Campaign_Summary!H9</f>
        <v>2.57610555555556</v>
      </c>
      <c r="D56" s="33" t="n">
        <v>-0.1</v>
      </c>
      <c r="E56" s="32" t="n">
        <f aca="false">B56*(1+D56)</f>
        <v>675</v>
      </c>
      <c r="F56" s="32" t="n">
        <f aca="false">E56*C56</f>
        <v>1738.87125</v>
      </c>
    </row>
    <row r="57" customFormat="false" ht="15" hidden="false" customHeight="false" outlineLevel="0" collapsed="false">
      <c r="A57" s="6" t="str">
        <f aca="false">Campaign_Summary!A10</f>
        <v>Influencer</v>
      </c>
      <c r="B57" s="32" t="n">
        <f aca="false">Campaign_Summary!B10</f>
        <v>600</v>
      </c>
      <c r="C57" s="18" t="n">
        <f aca="false">Campaign_Summary!H10</f>
        <v>1.62916388888889</v>
      </c>
      <c r="D57" s="33" t="n">
        <v>-0.35</v>
      </c>
      <c r="E57" s="32" t="n">
        <f aca="false">B57*(1+D57)</f>
        <v>390</v>
      </c>
      <c r="F57" s="32" t="n">
        <f aca="false">E57*C57</f>
        <v>635.373916666667</v>
      </c>
    </row>
    <row r="58" customFormat="false" ht="15" hidden="false" customHeight="false" outlineLevel="0" collapsed="false">
      <c r="A58" s="19" t="s">
        <v>163</v>
      </c>
      <c r="B58" s="20" t="n">
        <f aca="false">SUM(B52:B57)</f>
        <v>4900</v>
      </c>
      <c r="C58" s="34"/>
      <c r="D58" s="34"/>
      <c r="E58" s="20" t="n">
        <f aca="false">SUM(E52:E57)</f>
        <v>4865</v>
      </c>
      <c r="F58" s="20" t="n">
        <f aca="false">SUM(F52:F57)</f>
        <v>14430.815</v>
      </c>
    </row>
    <row r="60" customFormat="false" ht="15" hidden="false" customHeight="false" outlineLevel="0" collapsed="false">
      <c r="A60" s="35" t="s">
        <v>164</v>
      </c>
      <c r="C60" s="36" t="n">
        <f aca="false">Campaign_Summary!H11</f>
        <v>2.83224285714286</v>
      </c>
    </row>
    <row r="61" customFormat="false" ht="15" hidden="false" customHeight="false" outlineLevel="0" collapsed="false">
      <c r="A61" s="35" t="s">
        <v>165</v>
      </c>
      <c r="C61" s="37" t="n">
        <v>0.4</v>
      </c>
    </row>
    <row r="62" customFormat="false" ht="15" hidden="false" customHeight="false" outlineLevel="0" collapsed="false">
      <c r="A62" s="35" t="s">
        <v>166</v>
      </c>
      <c r="C62" s="36" t="n">
        <f aca="false">C60*(1+C61)</f>
        <v>3.96514</v>
      </c>
    </row>
    <row r="63" customFormat="false" ht="15" hidden="false" customHeight="false" outlineLevel="0" collapsed="false">
      <c r="A63" s="38" t="s">
        <v>167</v>
      </c>
      <c r="C63" s="39" t="n">
        <f aca="false">IFERROR(F58/B58,0)</f>
        <v>2.94506428571429</v>
      </c>
    </row>
    <row r="64" customFormat="false" ht="15" hidden="false" customHeight="false" outlineLevel="0" collapsed="false">
      <c r="A64" s="38" t="s">
        <v>168</v>
      </c>
      <c r="C64" s="40" t="n">
        <f aca="false">C63/C60-1</f>
        <v>0.0398346590536525</v>
      </c>
    </row>
    <row r="65" customFormat="false" ht="15" hidden="false" customHeight="false" outlineLevel="0" collapsed="false">
      <c r="A65" s="35" t="s">
        <v>169</v>
      </c>
      <c r="C65" s="41" t="n">
        <f aca="false">C64-C61</f>
        <v>-0.360165340946348</v>
      </c>
    </row>
  </sheetData>
  <mergeCells count="1">
    <mergeCell ref="A49:F49"/>
  </mergeCells>
  <conditionalFormatting sqref="C64">
    <cfRule type="cellIs" priority="2" operator="greaterThanOrEqual" aboveAverage="0" equalAverage="0" bottom="0" percent="0" rank="0" text="" dxfId="0">
      <formula>C61</formula>
    </cfRule>
    <cfRule type="cellIs" priority="3" operator="lessThan" aboveAverage="0" equalAverage="0" bottom="0" percent="0" rank="0" text="" dxfId="1">
      <formula>C61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2026-09-01T18:08:35Z</dcterms:created>
  <dc:creator>openpyxl</dc:creator>
  <dc:description/>
  <dc:language>en-US</dc:language>
  <cp:lastModifiedBy/>
  <dcterms:modified xsi:type="dcterms:W3CDTF">2026-09-01T18:08:39Z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